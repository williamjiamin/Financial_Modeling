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金融建模\金融建模\"/>
    </mc:Choice>
  </mc:AlternateContent>
  <bookViews>
    <workbookView xWindow="360" yWindow="105" windowWidth="6480" windowHeight="3930" firstSheet="2" activeTab="7"/>
  </bookViews>
  <sheets>
    <sheet name="Math" sheetId="9" r:id="rId1"/>
    <sheet name="MatDef" sheetId="1" r:id="rId2"/>
    <sheet name="MatExs" sheetId="2" r:id="rId3"/>
    <sheet name="Frequency" sheetId="3" r:id="rId4"/>
    <sheet name="SNorm" sheetId="4" r:id="rId5"/>
    <sheet name="Lookup" sheetId="5" r:id="rId6"/>
    <sheet name="Bonds" sheetId="6" r:id="rId7"/>
    <sheet name="CompoundDTab" sheetId="7" r:id="rId8"/>
    <sheet name="SalesCom" sheetId="8" r:id="rId9"/>
    <sheet name="Sheet1" sheetId="10" r:id="rId10"/>
    <sheet name="William_Test" sheetId="12" r:id="rId11"/>
  </sheets>
  <functionGroups builtInGroupCount="18"/>
  <definedNames>
    <definedName name="A" localSheetId="1">MatDef!$C$17:$E$19</definedName>
    <definedName name="ComRate">Lookup!$F$5:$G$7</definedName>
    <definedName name="Index">#REF!</definedName>
    <definedName name="invA">MatDef!$I$17:$K$19</definedName>
    <definedName name="rate">Lookup!$H$4:$I$7</definedName>
    <definedName name="regoutput">#REF!</definedName>
    <definedName name="ShareA">#REF!</definedName>
    <definedName name="solver_adj" localSheetId="7" hidden="1">CompoundDTab!$C$54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CompoundDTab!$G$54</definedName>
    <definedName name="solver_pre" localSheetId="7" hidden="1">0.000001</definedName>
    <definedName name="solver_rbv" localSheetId="7" hidden="1">2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0</definedName>
    <definedName name="solver_ver" localSheetId="7" hidden="1">3</definedName>
    <definedName name="Y">MatDef!$C$21:$C$23</definedName>
    <definedName name="佣金">Lookup!$F$5:$G$7</definedName>
  </definedNames>
  <calcPr calcId="152511" calcMode="autoNoTable" iterate="1"/>
</workbook>
</file>

<file path=xl/calcChain.xml><?xml version="1.0" encoding="utf-8"?>
<calcChain xmlns="http://schemas.openxmlformats.org/spreadsheetml/2006/main">
  <c r="G13" i="6" l="1"/>
  <c r="F13" i="6"/>
  <c r="E13" i="6"/>
  <c r="D13" i="6"/>
  <c r="C13" i="6"/>
  <c r="G12" i="6"/>
  <c r="F12" i="6"/>
  <c r="E12" i="6"/>
  <c r="D12" i="6"/>
  <c r="C12" i="6"/>
  <c r="G11" i="6"/>
  <c r="F11" i="6"/>
  <c r="E11" i="6"/>
  <c r="D11" i="6"/>
  <c r="C11" i="6"/>
  <c r="D27" i="5"/>
  <c r="D22" i="5"/>
  <c r="D18" i="5"/>
  <c r="D5" i="5"/>
  <c r="J11" i="5"/>
  <c r="J9" i="5"/>
  <c r="J7" i="5"/>
  <c r="J5" i="5"/>
  <c r="B13" i="8"/>
  <c r="B15" i="8"/>
  <c r="G49" i="7"/>
  <c r="B14" i="8"/>
  <c r="H25" i="3" l="1"/>
  <c r="H24" i="3"/>
  <c r="H23" i="3"/>
  <c r="H22" i="3"/>
  <c r="H21" i="3"/>
  <c r="H5" i="3" a="1"/>
  <c r="H5" i="3" s="1"/>
  <c r="E11" i="3"/>
  <c r="E12" i="3"/>
  <c r="E4" i="3" s="1"/>
  <c r="E13" i="3"/>
  <c r="E14" i="3"/>
  <c r="E15" i="3"/>
  <c r="E16" i="3"/>
  <c r="E17" i="3"/>
  <c r="E5" i="3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10" i="3"/>
  <c r="E6" i="3" s="1"/>
  <c r="D7" i="3"/>
  <c r="D6" i="3"/>
  <c r="D5" i="3"/>
  <c r="D4" i="3"/>
  <c r="R17" i="1" a="1"/>
  <c r="T19" i="1" s="1"/>
  <c r="M10" i="1" a="1"/>
  <c r="M10" i="1" s="1"/>
  <c r="M4" i="1" a="1"/>
  <c r="M4" i="1" s="1"/>
  <c r="E7" i="3" l="1"/>
  <c r="H14" i="3"/>
  <c r="H13" i="3"/>
  <c r="H12" i="3"/>
  <c r="H11" i="3"/>
  <c r="H8" i="3"/>
  <c r="H10" i="3"/>
  <c r="H7" i="3"/>
  <c r="H6" i="3"/>
  <c r="H9" i="3"/>
  <c r="S19" i="1"/>
  <c r="R19" i="1"/>
  <c r="T18" i="1"/>
  <c r="S18" i="1"/>
  <c r="R18" i="1"/>
  <c r="T17" i="1"/>
  <c r="S17" i="1"/>
  <c r="R17" i="1"/>
  <c r="N11" i="1"/>
  <c r="M11" i="1"/>
  <c r="R10" i="1" s="1" a="1"/>
  <c r="N10" i="1"/>
  <c r="N4" i="1"/>
  <c r="A45" i="9" a="1"/>
  <c r="A45" i="9" s="1"/>
  <c r="D46" i="9" a="1"/>
  <c r="E46" i="9" s="1"/>
  <c r="S10" i="1" l="1"/>
  <c r="R11" i="1"/>
  <c r="R10" i="1"/>
  <c r="S11" i="1"/>
  <c r="D46" i="9"/>
  <c r="V17" i="1" a="1"/>
  <c r="B46" i="9"/>
  <c r="B45" i="9"/>
  <c r="A46" i="9"/>
  <c r="H17" i="3"/>
  <c r="I5" i="3" s="1"/>
  <c r="J5" i="3" s="1"/>
  <c r="F41" i="9" a="1"/>
  <c r="F42" i="9" s="1"/>
  <c r="F35" i="9"/>
  <c r="F32" i="9"/>
  <c r="E32" i="9"/>
  <c r="E29" i="9"/>
  <c r="D29" i="9"/>
  <c r="A26" i="9"/>
  <c r="B25" i="9"/>
  <c r="A2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B15" i="9"/>
  <c r="C15" i="9"/>
  <c r="D15" i="9"/>
  <c r="A15" i="9"/>
  <c r="A3" i="9"/>
  <c r="A4" i="9" s="1"/>
  <c r="A13" i="9"/>
  <c r="A9" i="9"/>
  <c r="A10" i="9" s="1"/>
  <c r="I7" i="3" l="1"/>
  <c r="I11" i="3"/>
  <c r="I13" i="3"/>
  <c r="I14" i="3"/>
  <c r="V19" i="1"/>
  <c r="V18" i="1"/>
  <c r="V17" i="1"/>
  <c r="X18" i="1"/>
  <c r="W17" i="1"/>
  <c r="W19" i="1"/>
  <c r="X17" i="1"/>
  <c r="W18" i="1"/>
  <c r="X19" i="1"/>
  <c r="I10" i="3"/>
  <c r="I8" i="3"/>
  <c r="I12" i="3"/>
  <c r="I9" i="3"/>
  <c r="I6" i="3"/>
  <c r="J6" i="3"/>
  <c r="J7" i="3" s="1"/>
  <c r="J8" i="3" s="1"/>
  <c r="J9" i="3" s="1"/>
  <c r="J10" i="3" s="1"/>
  <c r="J11" i="3" s="1"/>
  <c r="J12" i="3" s="1"/>
  <c r="J13" i="3" s="1"/>
  <c r="J14" i="3" s="1"/>
  <c r="F41" i="9"/>
  <c r="C9" i="6"/>
  <c r="D9" i="6"/>
  <c r="E9" i="6"/>
  <c r="F9" i="6"/>
  <c r="G9" i="6"/>
  <c r="C6" i="7"/>
  <c r="C10" i="7"/>
  <c r="D16" i="7" s="1"/>
  <c r="C11" i="7"/>
  <c r="C30" i="7" s="1"/>
  <c r="J16" i="7"/>
  <c r="D9" i="3"/>
  <c r="E9" i="3"/>
  <c r="E5" i="5"/>
  <c r="D7" i="5"/>
  <c r="E7" i="5"/>
  <c r="D9" i="5"/>
  <c r="E9" i="5"/>
  <c r="D11" i="5"/>
  <c r="E11" i="5"/>
  <c r="I4" i="1" a="1"/>
  <c r="I4" i="1" s="1"/>
  <c r="I7" i="1" a="1"/>
  <c r="I7" i="1" s="1"/>
  <c r="C10" i="1" a="1"/>
  <c r="D10" i="1" s="1"/>
  <c r="C13" i="1" a="1"/>
  <c r="C13" i="1" s="1"/>
  <c r="I13" i="1" s="1"/>
  <c r="I17" i="1" a="1"/>
  <c r="I19" i="1" s="1"/>
  <c r="B5" i="8"/>
  <c r="B6" i="8"/>
  <c r="B7" i="8"/>
  <c r="C5" i="4"/>
  <c r="D5" i="4"/>
  <c r="F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D12" i="4"/>
  <c r="C13" i="4"/>
  <c r="D13" i="4"/>
  <c r="J4" i="1" l="1"/>
  <c r="I8" i="1"/>
  <c r="E16" i="7"/>
  <c r="I18" i="1"/>
  <c r="C10" i="1"/>
  <c r="K17" i="1"/>
  <c r="J17" i="1"/>
  <c r="I17" i="1"/>
  <c r="K18" i="1"/>
  <c r="J18" i="1"/>
  <c r="K19" i="1"/>
  <c r="D11" i="1"/>
  <c r="J19" i="1"/>
  <c r="C11" i="1"/>
  <c r="G54" i="7"/>
  <c r="I10" i="1" l="1" a="1"/>
  <c r="I21" i="1" a="1"/>
  <c r="N17" i="1" a="1"/>
  <c r="I10" i="1"/>
  <c r="J10" i="1"/>
  <c r="I11" i="1"/>
  <c r="J11" i="1"/>
  <c r="N17" i="1" l="1"/>
  <c r="P17" i="1"/>
  <c r="N19" i="1"/>
  <c r="O17" i="1"/>
  <c r="P19" i="1"/>
  <c r="N18" i="1"/>
  <c r="O18" i="1"/>
  <c r="O19" i="1"/>
  <c r="P18" i="1"/>
  <c r="I21" i="1"/>
  <c r="I22" i="1"/>
  <c r="I23" i="1"/>
</calcChain>
</file>

<file path=xl/sharedStrings.xml><?xml version="1.0" encoding="utf-8"?>
<sst xmlns="http://schemas.openxmlformats.org/spreadsheetml/2006/main" count="172" uniqueCount="132">
  <si>
    <t>Array Manipulation:</t>
  </si>
  <si>
    <t>Transposes</t>
  </si>
  <si>
    <t>array:</t>
  </si>
  <si>
    <t>dim</t>
  </si>
  <si>
    <t>x</t>
  </si>
  <si>
    <t>(2x1)</t>
  </si>
  <si>
    <r>
      <t>x</t>
    </r>
    <r>
      <rPr>
        <vertAlign val="superscript"/>
        <sz val="10"/>
        <rFont val="Times New Roman"/>
        <family val="1"/>
        <charset val="134"/>
      </rPr>
      <t>T</t>
    </r>
  </si>
  <si>
    <t>(1x2)</t>
  </si>
  <si>
    <t>y</t>
  </si>
  <si>
    <r>
      <t>y</t>
    </r>
    <r>
      <rPr>
        <vertAlign val="superscript"/>
        <sz val="10"/>
        <rFont val="Times New Roman"/>
        <family val="1"/>
        <charset val="134"/>
      </rPr>
      <t>T</t>
    </r>
  </si>
  <si>
    <t>Array Multiplication</t>
  </si>
  <si>
    <t>xy</t>
  </si>
  <si>
    <t>(2x2)</t>
  </si>
  <si>
    <r>
      <t>(xy)</t>
    </r>
    <r>
      <rPr>
        <vertAlign val="superscript"/>
        <sz val="10"/>
        <rFont val="Times New Roman"/>
        <family val="1"/>
        <charset val="134"/>
      </rPr>
      <t>T</t>
    </r>
  </si>
  <si>
    <t>yx</t>
  </si>
  <si>
    <t>(1x1)</t>
  </si>
  <si>
    <r>
      <t>(yx)</t>
    </r>
    <r>
      <rPr>
        <vertAlign val="superscript"/>
        <sz val="10"/>
        <rFont val="Times New Roman"/>
        <family val="1"/>
        <charset val="134"/>
      </rPr>
      <t>T</t>
    </r>
  </si>
  <si>
    <t>A</t>
  </si>
  <si>
    <t>(3x3)</t>
  </si>
  <si>
    <r>
      <t>A</t>
    </r>
    <r>
      <rPr>
        <vertAlign val="superscript"/>
        <sz val="10"/>
        <rFont val="Times New Roman"/>
        <family val="1"/>
        <charset val="134"/>
      </rPr>
      <t>-1</t>
    </r>
  </si>
  <si>
    <r>
      <t>AA</t>
    </r>
    <r>
      <rPr>
        <vertAlign val="superscript"/>
        <sz val="10"/>
        <rFont val="Times New Roman"/>
        <family val="1"/>
        <charset val="134"/>
      </rPr>
      <t>-1</t>
    </r>
  </si>
  <si>
    <t>b</t>
  </si>
  <si>
    <t>(3x1)</t>
  </si>
  <si>
    <r>
      <t>x = A</t>
    </r>
    <r>
      <rPr>
        <vertAlign val="superscript"/>
        <sz val="10"/>
        <rFont val="Times New Roman"/>
        <family val="1"/>
        <charset val="134"/>
      </rPr>
      <t>-1</t>
    </r>
    <r>
      <rPr>
        <sz val="10"/>
        <rFont val="Times New Roman"/>
        <family val="1"/>
        <charset val="134"/>
      </rPr>
      <t>b</t>
    </r>
  </si>
  <si>
    <t>Excel Matrix Functions</t>
  </si>
  <si>
    <t>Amat1</t>
  </si>
  <si>
    <t>Answer</t>
  </si>
  <si>
    <t>MINVERSE</t>
  </si>
  <si>
    <t>TRANSPOSE</t>
  </si>
  <si>
    <t>Excel Matrix Multiplication</t>
  </si>
  <si>
    <t>Amat2</t>
  </si>
  <si>
    <t>MMULT</t>
  </si>
  <si>
    <t>Amat1 * Amat2</t>
  </si>
  <si>
    <t>Transpose (Amat2) * Amat1</t>
  </si>
  <si>
    <t>Returns for months 1 - 62</t>
  </si>
  <si>
    <t>Summary Statistics:</t>
  </si>
  <si>
    <t>Returns</t>
  </si>
  <si>
    <t>Ln Returns</t>
  </si>
  <si>
    <t>Frequency Distribution:</t>
  </si>
  <si>
    <t>Mean</t>
  </si>
  <si>
    <t>interval</t>
  </si>
  <si>
    <t>freq</t>
  </si>
  <si>
    <t>%freq</t>
  </si>
  <si>
    <t>%cum freq</t>
  </si>
  <si>
    <t>St Dev</t>
  </si>
  <si>
    <t>Max</t>
  </si>
  <si>
    <t>Min</t>
  </si>
  <si>
    <t>Month</t>
  </si>
  <si>
    <t>Total</t>
  </si>
  <si>
    <t>Quartiles:</t>
  </si>
  <si>
    <t>quart no.</t>
  </si>
  <si>
    <t>Q points</t>
  </si>
  <si>
    <t>Q %</t>
  </si>
  <si>
    <t>Excel Normal Functions used for N( 0, 1)</t>
  </si>
  <si>
    <t>PDF</t>
  </si>
  <si>
    <t>CDF</t>
  </si>
  <si>
    <t>InvNormal</t>
  </si>
  <si>
    <t>Sales Commission Lookup</t>
  </si>
  <si>
    <t>Sales</t>
  </si>
  <si>
    <t>Commission</t>
  </si>
  <si>
    <t>Sales &gt;=</t>
  </si>
  <si>
    <t>CommRate</t>
  </si>
  <si>
    <t>ComRate</t>
  </si>
  <si>
    <t>Formula:</t>
  </si>
  <si>
    <t>=B5*VLOOKUP(B5,ComRate,2)</t>
  </si>
  <si>
    <t>Black-Scholes Call Value Lookup Table</t>
  </si>
  <si>
    <t>Volatility</t>
  </si>
  <si>
    <t>BS Call Value</t>
  </si>
  <si>
    <t>VLOOKUP</t>
  </si>
  <si>
    <t>call value</t>
  </si>
  <si>
    <t>MATCH</t>
  </si>
  <si>
    <t>row</t>
  </si>
  <si>
    <t>column</t>
  </si>
  <si>
    <t>INDEX</t>
  </si>
  <si>
    <t>Bond Cashflows</t>
  </si>
  <si>
    <t>Bond</t>
  </si>
  <si>
    <t>Type 1</t>
  </si>
  <si>
    <t>Type 2</t>
  </si>
  <si>
    <t>Type 3</t>
  </si>
  <si>
    <t>Type 4</t>
  </si>
  <si>
    <t>Type 5</t>
  </si>
  <si>
    <t>Price</t>
  </si>
  <si>
    <t>Coupon</t>
  </si>
  <si>
    <t>T</t>
  </si>
  <si>
    <t>Maturity</t>
  </si>
  <si>
    <t>Cash Flows for bonds</t>
  </si>
  <si>
    <t>Initial Cost</t>
  </si>
  <si>
    <t>Receipts:</t>
  </si>
  <si>
    <t>t</t>
  </si>
  <si>
    <t xml:space="preserve">Year </t>
  </si>
  <si>
    <t>Continuous Compounding</t>
  </si>
  <si>
    <t>Inputs:</t>
  </si>
  <si>
    <t>Initial value (a)</t>
  </si>
  <si>
    <t>Interest rate-cont ( r)</t>
  </si>
  <si>
    <t>Interest rate-p.a.</t>
  </si>
  <si>
    <r>
      <t>r</t>
    </r>
    <r>
      <rPr>
        <vertAlign val="subscript"/>
        <sz val="10"/>
        <rFont val="Times New Roman"/>
        <family val="1"/>
        <charset val="134"/>
      </rPr>
      <t>a</t>
    </r>
    <r>
      <rPr>
        <sz val="10"/>
        <rFont val="Times New Roman"/>
        <family val="1"/>
        <charset val="134"/>
      </rPr>
      <t xml:space="preserve"> =exp(r)-1</t>
    </r>
  </si>
  <si>
    <t>Time (t)</t>
  </si>
  <si>
    <t>Outputs:</t>
  </si>
  <si>
    <t>=$C$4*EXP($C$5*$C$7)</t>
  </si>
  <si>
    <t>Compound factor t yrs</t>
  </si>
  <si>
    <t>Discount factor t yrs</t>
  </si>
  <si>
    <t>=$C$4*EXP(-$C$5*$C$7)</t>
  </si>
  <si>
    <t>Enter formula(s) for output</t>
  </si>
  <si>
    <t>compound</t>
  </si>
  <si>
    <t>discount</t>
  </si>
  <si>
    <t xml:space="preserve">Rate = </t>
  </si>
  <si>
    <t>Enter numbers</t>
  </si>
  <si>
    <t>for input variable t</t>
  </si>
  <si>
    <t>Enter formula for output</t>
  </si>
  <si>
    <t>interest rate r</t>
  </si>
  <si>
    <t>for input variables</t>
  </si>
  <si>
    <t>time t</t>
  </si>
  <si>
    <t>Black-Scholes Option Values</t>
  </si>
  <si>
    <t>Share price (S)</t>
  </si>
  <si>
    <t>Black-Scholes Call Value</t>
  </si>
  <si>
    <t>Exercise price (X)</t>
  </si>
  <si>
    <t>Int rate-cont (r)</t>
  </si>
  <si>
    <t>Dividend yield (q)</t>
  </si>
  <si>
    <t>Option life (T,years)</t>
  </si>
  <si>
    <t>Market value</t>
  </si>
  <si>
    <r>
      <t>Volatility (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  <charset val="134"/>
      </rPr>
      <t>)</t>
    </r>
  </si>
  <si>
    <t>Difference</t>
  </si>
  <si>
    <t>Sales Commission Function</t>
  </si>
  <si>
    <t>Years</t>
  </si>
  <si>
    <t>=Commission(Sales)</t>
  </si>
  <si>
    <t>=Commission1(Sales,ComRateTab)</t>
  </si>
  <si>
    <r>
      <t>Excel_</t>
    </r>
    <r>
      <rPr>
        <b/>
        <sz val="10"/>
        <rFont val="宋体"/>
        <family val="3"/>
        <charset val="134"/>
      </rPr>
      <t>运算训练</t>
    </r>
    <r>
      <rPr>
        <b/>
        <sz val="10"/>
        <rFont val="Times New Roman"/>
        <family val="1"/>
        <charset val="134"/>
      </rPr>
      <t>.XLS</t>
    </r>
    <phoneticPr fontId="11" type="noConversion"/>
  </si>
  <si>
    <t>=IF($B11&lt;C$6,C$5,IF($B11=C$6, 100+C$5,0))</t>
    <phoneticPr fontId="11" type="noConversion"/>
  </si>
  <si>
    <r>
      <t>Excel_</t>
    </r>
    <r>
      <rPr>
        <b/>
        <sz val="10"/>
        <rFont val="宋体"/>
        <family val="3"/>
        <charset val="134"/>
      </rPr>
      <t>运算训练</t>
    </r>
    <r>
      <rPr>
        <b/>
        <sz val="10"/>
        <rFont val="Times New Roman"/>
        <family val="1"/>
        <charset val="134"/>
      </rPr>
      <t>.XLS</t>
    </r>
    <phoneticPr fontId="11" type="noConversion"/>
  </si>
  <si>
    <r>
      <rPr>
        <b/>
        <sz val="10"/>
        <rFont val="Times New Roman"/>
        <family val="1"/>
        <charset val="134"/>
      </rPr>
      <t>Excel_</t>
    </r>
    <r>
      <rPr>
        <b/>
        <sz val="10"/>
        <rFont val="宋体"/>
        <family val="3"/>
        <charset val="134"/>
      </rPr>
      <t>运算训练</t>
    </r>
    <r>
      <rPr>
        <b/>
        <sz val="10"/>
        <rFont val="Times New Roman"/>
        <family val="1"/>
        <charset val="134"/>
      </rPr>
      <t>.XLS</t>
    </r>
    <phoneticPr fontId="11" type="noConversion"/>
  </si>
  <si>
    <t>=IF(AND(A5&gt;=0,A5&lt;10000),A5*0.08,IF(AND(A5&gt;=10000,A5&lt;20000),A5*0.105,A5*0.12))</t>
    <phoneticPr fontId="11" type="noConversion"/>
  </si>
  <si>
    <t>Using Fn.: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</si>
</sst>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_-&quot;?&quot;* #,##0_-;\-&quot;?&quot;* #,##0_-;_-&quot;?&quot;* &quot;-&quot;_-;_-@_-"/>
    <numFmt numFmtId="177" formatCode="_-* #,##0_-;\-* #,##0_-;_-* &quot;-&quot;_-;_-@_-"/>
    <numFmt numFmtId="178" formatCode="_-&quot;?&quot;* #,##0.00_-;\-&quot;?&quot;* #,##0.00_-;_-&quot;?&quot;* &quot;-&quot;??_-;_-@_-"/>
    <numFmt numFmtId="179" formatCode="_-* #,##0.00_-;\-* #,##0.00_-;_-* &quot;-&quot;??_-;_-@_-"/>
    <numFmt numFmtId="180" formatCode="0.0000"/>
    <numFmt numFmtId="181" formatCode="0.0"/>
    <numFmt numFmtId="182" formatCode="0.000000"/>
    <numFmt numFmtId="183" formatCode="0.000"/>
    <numFmt numFmtId="184" formatCode="0.0%"/>
    <numFmt numFmtId="185" formatCode="#,##0.000"/>
    <numFmt numFmtId="186" formatCode="0.00_ "/>
  </numFmts>
  <fonts count="39">
    <font>
      <sz val="10"/>
      <name val="Times New Roman"/>
      <family val="1"/>
      <charset val="134"/>
    </font>
    <font>
      <b/>
      <sz val="10"/>
      <name val="Times New Roman"/>
      <family val="1"/>
      <charset val="134"/>
    </font>
    <font>
      <sz val="10"/>
      <name val="Times New Roman"/>
      <family val="1"/>
      <charset val="134"/>
    </font>
    <font>
      <sz val="10"/>
      <name val="Times New Roman"/>
      <family val="1"/>
      <charset val="134"/>
    </font>
    <font>
      <b/>
      <sz val="10"/>
      <name val="Times New Roman"/>
      <family val="1"/>
      <charset val="134"/>
    </font>
    <font>
      <sz val="10"/>
      <name val="Times New Roman"/>
      <family val="1"/>
      <charset val="134"/>
    </font>
    <font>
      <sz val="10"/>
      <name val="Arial"/>
      <family val="2"/>
      <charset val="134"/>
    </font>
    <font>
      <sz val="10"/>
      <name val="Times New Roman"/>
      <family val="1"/>
      <charset val="134"/>
    </font>
    <font>
      <sz val="10"/>
      <name val="Arial"/>
      <family val="2"/>
      <charset val="134"/>
    </font>
    <font>
      <vertAlign val="subscript"/>
      <sz val="10"/>
      <name val="Times New Roman"/>
      <family val="1"/>
      <charset val="134"/>
    </font>
    <font>
      <vertAlign val="superscript"/>
      <sz val="10"/>
      <name val="Times New Roman"/>
      <family val="1"/>
      <charset val="134"/>
    </font>
    <font>
      <sz val="9"/>
      <name val="Times New Roman"/>
      <family val="1"/>
      <charset val="134"/>
    </font>
    <font>
      <sz val="10"/>
      <color indexed="30"/>
      <name val="Times New Roman"/>
      <family val="1"/>
      <charset val="134"/>
    </font>
    <font>
      <sz val="11"/>
      <color indexed="8"/>
      <name val="????"/>
      <family val="1"/>
    </font>
    <font>
      <sz val="11"/>
      <color indexed="9"/>
      <name val="????"/>
      <family val="1"/>
    </font>
    <font>
      <b/>
      <sz val="18"/>
      <color indexed="62"/>
      <name val="????"/>
      <family val="1"/>
    </font>
    <font>
      <b/>
      <sz val="15"/>
      <color indexed="62"/>
      <name val="????"/>
      <family val="1"/>
    </font>
    <font>
      <b/>
      <sz val="13"/>
      <color indexed="62"/>
      <name val="????"/>
      <family val="1"/>
    </font>
    <font>
      <b/>
      <sz val="11"/>
      <color indexed="62"/>
      <name val="????"/>
      <family val="1"/>
    </font>
    <font>
      <b/>
      <sz val="11"/>
      <color indexed="9"/>
      <name val="????"/>
      <family val="1"/>
    </font>
    <font>
      <i/>
      <sz val="11"/>
      <color indexed="23"/>
      <name val="????"/>
      <family val="1"/>
    </font>
    <font>
      <sz val="11"/>
      <color indexed="10"/>
      <name val="????"/>
      <family val="1"/>
    </font>
    <font>
      <b/>
      <sz val="18"/>
      <color indexed="62"/>
      <name val="Cambria"/>
      <family val="2"/>
      <charset val="134"/>
    </font>
    <font>
      <b/>
      <sz val="15"/>
      <color indexed="62"/>
      <name val="Calibri"/>
      <family val="2"/>
      <charset val="134"/>
    </font>
    <font>
      <b/>
      <sz val="13"/>
      <color indexed="62"/>
      <name val="Calibri"/>
      <family val="2"/>
      <charset val="134"/>
    </font>
    <font>
      <b/>
      <sz val="11"/>
      <color indexed="62"/>
      <name val="Calibri"/>
      <family val="2"/>
      <charset val="134"/>
    </font>
    <font>
      <sz val="11"/>
      <color indexed="17"/>
      <name val="Calibri"/>
      <family val="2"/>
      <charset val="134"/>
    </font>
    <font>
      <sz val="11"/>
      <color indexed="19"/>
      <name val="Calibri"/>
      <family val="2"/>
      <charset val="134"/>
    </font>
    <font>
      <sz val="11"/>
      <color indexed="10"/>
      <name val="Calibri"/>
      <family val="2"/>
      <charset val="134"/>
    </font>
    <font>
      <b/>
      <sz val="11"/>
      <color indexed="9"/>
      <name val="Calibri"/>
      <family val="2"/>
      <charset val="134"/>
    </font>
    <font>
      <sz val="11"/>
      <color indexed="10"/>
      <name val="Calibri"/>
      <family val="2"/>
      <charset val="134"/>
    </font>
    <font>
      <i/>
      <sz val="11"/>
      <color indexed="23"/>
      <name val="Calibri"/>
      <family val="2"/>
      <charset val="134"/>
    </font>
    <font>
      <b/>
      <sz val="11"/>
      <color indexed="8"/>
      <name val="Calibri"/>
      <family val="2"/>
      <charset val="134"/>
    </font>
    <font>
      <sz val="11"/>
      <color indexed="9"/>
      <name val="Calibri"/>
      <family val="2"/>
      <charset val="134"/>
    </font>
    <font>
      <sz val="11"/>
      <color indexed="8"/>
      <name val="Calibri"/>
      <family val="2"/>
      <charset val="134"/>
    </font>
    <font>
      <b/>
      <sz val="10"/>
      <name val="Times New Roman"/>
      <family val="1"/>
      <charset val="134"/>
    </font>
    <font>
      <b/>
      <sz val="9"/>
      <name val="Times New Roman"/>
      <family val="1"/>
      <charset val="134"/>
    </font>
    <font>
      <sz val="10"/>
      <name val="Symbol"/>
      <family val="1"/>
      <charset val="2"/>
    </font>
    <font>
      <b/>
      <sz val="10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45"/>
      </patternFill>
    </fill>
  </fills>
  <borders count="35">
    <border>
      <left/>
      <right/>
      <top/>
      <bottom/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9">
    <xf numFmtId="0" fontId="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9" fillId="10" borderId="3" applyNumberFormat="0" applyAlignment="0" applyProtection="0">
      <alignment vertical="center"/>
    </xf>
    <xf numFmtId="0" fontId="2" fillId="11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32" fillId="0" borderId="2" applyNumberFormat="0" applyFill="0" applyAlignment="0" applyProtection="0"/>
    <xf numFmtId="0" fontId="2" fillId="11" borderId="4" applyNumberFormat="0" applyFont="0" applyAlignment="0" applyProtection="0"/>
    <xf numFmtId="0" fontId="29" fillId="10" borderId="3" applyNumberFormat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14" borderId="0" applyNumberFormat="0" applyBorder="0" applyAlignment="0" applyProtection="0"/>
    <xf numFmtId="0" fontId="34" fillId="2" borderId="0" applyNumberFormat="0" applyBorder="0" applyAlignment="0" applyProtection="0"/>
    <xf numFmtId="0" fontId="34" fillId="11" borderId="0" applyNumberFormat="0" applyBorder="0" applyAlignment="0" applyProtection="0"/>
    <xf numFmtId="0" fontId="13" fillId="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4" fillId="2" borderId="0" applyNumberFormat="0" applyBorder="0" applyAlignment="0" applyProtection="0"/>
    <xf numFmtId="0" fontId="34" fillId="13" borderId="0" applyNumberFormat="0" applyBorder="0" applyAlignment="0" applyProtection="0"/>
    <xf numFmtId="0" fontId="34" fillId="3" borderId="0" applyNumberFormat="0" applyBorder="0" applyAlignment="0" applyProtection="0"/>
    <xf numFmtId="0" fontId="34" fillId="15" borderId="0" applyNumberFormat="0" applyBorder="0" applyAlignment="0" applyProtection="0"/>
    <xf numFmtId="0" fontId="34" fillId="2" borderId="0" applyNumberFormat="0" applyBorder="0" applyAlignment="0" applyProtection="0"/>
    <xf numFmtId="0" fontId="34" fillId="11" borderId="0" applyNumberFormat="0" applyBorder="0" applyAlignment="0" applyProtection="0"/>
    <xf numFmtId="0" fontId="14" fillId="2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33" fillId="2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15" borderId="0" applyNumberFormat="0" applyBorder="0" applyAlignment="0" applyProtection="0"/>
    <xf numFmtId="0" fontId="33" fillId="2" borderId="0" applyNumberFormat="0" applyBorder="0" applyAlignment="0" applyProtection="0"/>
    <xf numFmtId="0" fontId="33" fillId="13" borderId="0" applyNumberFormat="0" applyBorder="0" applyAlignment="0" applyProtection="0"/>
    <xf numFmtId="0" fontId="28" fillId="0" borderId="1" applyNumberFormat="0" applyFill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177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27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2" borderId="0" applyNumberFormat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left"/>
    </xf>
    <xf numFmtId="0" fontId="0" fillId="0" borderId="8" xfId="0" applyBorder="1"/>
    <xf numFmtId="2" fontId="0" fillId="0" borderId="0" xfId="0" applyNumberFormat="1"/>
    <xf numFmtId="180" fontId="0" fillId="0" borderId="0" xfId="0" applyNumberFormat="1"/>
    <xf numFmtId="0" fontId="1" fillId="0" borderId="0" xfId="0" quotePrefix="1" applyFont="1" applyAlignment="1">
      <alignment horizontal="left"/>
    </xf>
    <xf numFmtId="1" fontId="0" fillId="0" borderId="0" xfId="0" applyNumberFormat="1"/>
    <xf numFmtId="9" fontId="0" fillId="0" borderId="0" xfId="0" applyNumberFormat="1"/>
    <xf numFmtId="181" fontId="1" fillId="0" borderId="0" xfId="0" applyNumberFormat="1" applyFont="1"/>
    <xf numFmtId="0" fontId="2" fillId="0" borderId="0" xfId="0" applyFont="1"/>
    <xf numFmtId="180" fontId="0" fillId="0" borderId="8" xfId="0" applyNumberFormat="1" applyBorder="1"/>
    <xf numFmtId="0" fontId="0" fillId="0" borderId="0" xfId="0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2" fontId="0" fillId="0" borderId="0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182" fontId="0" fillId="0" borderId="0" xfId="0" applyNumberFormat="1"/>
    <xf numFmtId="11" fontId="0" fillId="0" borderId="0" xfId="0" applyNumberFormat="1" applyBorder="1"/>
    <xf numFmtId="0" fontId="3" fillId="0" borderId="0" xfId="0" applyFont="1"/>
    <xf numFmtId="0" fontId="3" fillId="0" borderId="0" xfId="0" applyFont="1" applyBorder="1"/>
    <xf numFmtId="0" fontId="3" fillId="0" borderId="0" xfId="0" applyFont="1" applyAlignment="1">
      <alignment horizontal="center"/>
    </xf>
    <xf numFmtId="0" fontId="3" fillId="0" borderId="0" xfId="0" quotePrefix="1" applyFont="1" applyBorder="1"/>
    <xf numFmtId="184" fontId="3" fillId="0" borderId="0" xfId="0" applyNumberFormat="1" applyFont="1" applyBorder="1"/>
    <xf numFmtId="0" fontId="4" fillId="0" borderId="0" xfId="0" applyFont="1" applyAlignment="1">
      <alignment horizontal="left"/>
    </xf>
    <xf numFmtId="1" fontId="3" fillId="0" borderId="0" xfId="0" quotePrefix="1" applyNumberFormat="1" applyFont="1" applyBorder="1"/>
    <xf numFmtId="0" fontId="3" fillId="0" borderId="0" xfId="0" applyFont="1" applyFill="1" applyBorder="1"/>
    <xf numFmtId="184" fontId="3" fillId="0" borderId="0" xfId="0" applyNumberFormat="1" applyFont="1" applyFill="1" applyBorder="1"/>
    <xf numFmtId="9" fontId="3" fillId="0" borderId="0" xfId="0" applyNumberFormat="1" applyFont="1" applyFill="1" applyBorder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quotePrefix="1" applyFont="1" applyBorder="1"/>
    <xf numFmtId="9" fontId="2" fillId="0" borderId="0" xfId="0" applyNumberFormat="1" applyFont="1"/>
    <xf numFmtId="2" fontId="2" fillId="0" borderId="0" xfId="0" applyNumberFormat="1" applyFont="1"/>
    <xf numFmtId="2" fontId="0" fillId="0" borderId="8" xfId="0" applyNumberFormat="1" applyBorder="1"/>
    <xf numFmtId="0" fontId="1" fillId="0" borderId="0" xfId="76" quotePrefix="1" applyFont="1" applyAlignment="1">
      <alignment horizontal="left"/>
    </xf>
    <xf numFmtId="0" fontId="3" fillId="0" borderId="0" xfId="76" applyFont="1"/>
    <xf numFmtId="0" fontId="4" fillId="0" borderId="0" xfId="76" applyFont="1"/>
    <xf numFmtId="0" fontId="3" fillId="0" borderId="0" xfId="76" applyFont="1" applyAlignment="1">
      <alignment horizontal="right"/>
    </xf>
    <xf numFmtId="0" fontId="3" fillId="0" borderId="0" xfId="76" applyFont="1" applyAlignment="1">
      <alignment horizontal="center"/>
    </xf>
    <xf numFmtId="184" fontId="4" fillId="0" borderId="0" xfId="76" applyNumberFormat="1" applyFont="1"/>
    <xf numFmtId="10" fontId="3" fillId="0" borderId="0" xfId="76" applyNumberFormat="1" applyFont="1"/>
    <xf numFmtId="184" fontId="3" fillId="0" borderId="0" xfId="76" applyNumberFormat="1" applyFont="1"/>
    <xf numFmtId="2" fontId="3" fillId="0" borderId="0" xfId="76" quotePrefix="1" applyNumberFormat="1" applyFont="1"/>
    <xf numFmtId="183" fontId="3" fillId="0" borderId="0" xfId="76" quotePrefix="1" applyNumberFormat="1" applyFont="1"/>
    <xf numFmtId="2" fontId="3" fillId="0" borderId="0" xfId="76" applyNumberFormat="1" applyFont="1"/>
    <xf numFmtId="2" fontId="3" fillId="0" borderId="0" xfId="76" applyNumberFormat="1" applyFont="1" applyAlignment="1">
      <alignment horizontal="center"/>
    </xf>
    <xf numFmtId="183" fontId="3" fillId="0" borderId="17" xfId="76" applyNumberFormat="1" applyFont="1" applyBorder="1"/>
    <xf numFmtId="183" fontId="3" fillId="0" borderId="18" xfId="76" applyNumberFormat="1" applyFont="1" applyBorder="1" applyAlignment="1">
      <alignment horizontal="center"/>
    </xf>
    <xf numFmtId="0" fontId="3" fillId="0" borderId="19" xfId="76" applyFont="1" applyBorder="1"/>
    <xf numFmtId="183" fontId="3" fillId="0" borderId="0" xfId="76" applyNumberFormat="1" applyFont="1" applyAlignment="1">
      <alignment horizontal="center"/>
    </xf>
    <xf numFmtId="0" fontId="3" fillId="0" borderId="20" xfId="76" applyFont="1" applyBorder="1"/>
    <xf numFmtId="0" fontId="3" fillId="0" borderId="21" xfId="76" applyFont="1" applyBorder="1"/>
    <xf numFmtId="0" fontId="3" fillId="0" borderId="0" xfId="76" applyFont="1" applyBorder="1"/>
    <xf numFmtId="183" fontId="3" fillId="0" borderId="0" xfId="76" applyNumberFormat="1" applyFont="1"/>
    <xf numFmtId="184" fontId="3" fillId="0" borderId="17" xfId="76" applyNumberFormat="1" applyFont="1" applyBorder="1"/>
    <xf numFmtId="184" fontId="3" fillId="0" borderId="22" xfId="76" applyNumberFormat="1" applyFont="1" applyBorder="1"/>
    <xf numFmtId="184" fontId="3" fillId="0" borderId="18" xfId="76" applyNumberFormat="1" applyFont="1" applyBorder="1"/>
    <xf numFmtId="1" fontId="3" fillId="0" borderId="0" xfId="76" applyNumberFormat="1" applyFont="1"/>
    <xf numFmtId="0" fontId="4" fillId="0" borderId="0" xfId="77" quotePrefix="1" applyFont="1" applyAlignment="1">
      <alignment horizontal="left"/>
    </xf>
    <xf numFmtId="0" fontId="3" fillId="0" borderId="0" xfId="77" quotePrefix="1" applyFont="1" applyAlignment="1">
      <alignment horizontal="left"/>
    </xf>
    <xf numFmtId="0" fontId="3" fillId="0" borderId="0" xfId="77" applyFont="1"/>
    <xf numFmtId="0" fontId="4" fillId="0" borderId="0" xfId="77" applyFont="1"/>
    <xf numFmtId="0" fontId="4" fillId="0" borderId="0" xfId="77" applyFont="1" applyAlignment="1">
      <alignment horizontal="center"/>
    </xf>
    <xf numFmtId="0" fontId="3" fillId="0" borderId="0" xfId="77" applyFont="1" applyAlignment="1">
      <alignment horizontal="center"/>
    </xf>
    <xf numFmtId="0" fontId="3" fillId="0" borderId="23" xfId="77" applyFont="1" applyBorder="1" applyAlignment="1">
      <alignment horizontal="center"/>
    </xf>
    <xf numFmtId="0" fontId="3" fillId="0" borderId="24" xfId="77" applyFont="1" applyBorder="1" applyAlignment="1">
      <alignment horizontal="center"/>
    </xf>
    <xf numFmtId="0" fontId="3" fillId="0" borderId="25" xfId="77" applyFont="1" applyBorder="1" applyAlignment="1">
      <alignment horizontal="center"/>
    </xf>
    <xf numFmtId="0" fontId="3" fillId="0" borderId="0" xfId="77" quotePrefix="1" applyFont="1" applyAlignment="1">
      <alignment horizontal="center"/>
    </xf>
    <xf numFmtId="0" fontId="3" fillId="0" borderId="0" xfId="77" applyFont="1" applyBorder="1" applyAlignment="1">
      <alignment horizontal="center"/>
    </xf>
    <xf numFmtId="0" fontId="3" fillId="0" borderId="0" xfId="77" applyFont="1" applyAlignment="1">
      <alignment horizontal="right"/>
    </xf>
    <xf numFmtId="0" fontId="4" fillId="0" borderId="0" xfId="77" applyFont="1" applyAlignment="1">
      <alignment horizontal="right"/>
    </xf>
    <xf numFmtId="0" fontId="3" fillId="0" borderId="0" xfId="77" applyFont="1" applyBorder="1"/>
    <xf numFmtId="185" fontId="11" fillId="0" borderId="24" xfId="77" applyNumberFormat="1" applyFont="1" applyBorder="1"/>
    <xf numFmtId="185" fontId="11" fillId="0" borderId="0" xfId="77" applyNumberFormat="1" applyFont="1"/>
    <xf numFmtId="185" fontId="11" fillId="0" borderId="25" xfId="77" applyNumberFormat="1" applyFont="1" applyBorder="1"/>
    <xf numFmtId="2" fontId="3" fillId="0" borderId="24" xfId="77" applyNumberFormat="1" applyFont="1" applyBorder="1"/>
    <xf numFmtId="2" fontId="3" fillId="0" borderId="0" xfId="77" applyNumberFormat="1" applyFont="1"/>
    <xf numFmtId="2" fontId="3" fillId="0" borderId="25" xfId="77" applyNumberFormat="1" applyFont="1" applyBorder="1"/>
    <xf numFmtId="0" fontId="3" fillId="0" borderId="0" xfId="77" quotePrefix="1" applyFont="1" applyAlignment="1">
      <alignment horizontal="right"/>
    </xf>
    <xf numFmtId="17" fontId="0" fillId="0" borderId="0" xfId="0" applyNumberFormat="1"/>
    <xf numFmtId="0" fontId="1" fillId="0" borderId="0" xfId="0" applyFont="1" applyAlignment="1">
      <alignment horizontal="centerContinuous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Continuous"/>
    </xf>
    <xf numFmtId="0" fontId="1" fillId="0" borderId="0" xfId="0" applyFont="1" applyAlignment="1">
      <alignment horizontal="left"/>
    </xf>
    <xf numFmtId="0" fontId="3" fillId="0" borderId="0" xfId="75" applyFont="1"/>
    <xf numFmtId="0" fontId="3" fillId="0" borderId="0" xfId="75" applyFont="1" applyAlignment="1">
      <alignment horizontal="right"/>
    </xf>
    <xf numFmtId="181" fontId="3" fillId="0" borderId="0" xfId="75" applyNumberFormat="1" applyFont="1"/>
    <xf numFmtId="0" fontId="4" fillId="0" borderId="0" xfId="75" applyFont="1"/>
    <xf numFmtId="0" fontId="3" fillId="0" borderId="0" xfId="75" quotePrefix="1" applyFont="1" applyAlignment="1">
      <alignment horizontal="right"/>
    </xf>
    <xf numFmtId="181" fontId="4" fillId="0" borderId="0" xfId="75" applyNumberFormat="1" applyFont="1"/>
    <xf numFmtId="0" fontId="3" fillId="0" borderId="26" xfId="75" applyFont="1" applyBorder="1" applyAlignment="1">
      <alignment horizontal="right"/>
    </xf>
    <xf numFmtId="0" fontId="3" fillId="0" borderId="27" xfId="75" applyFont="1" applyBorder="1" applyAlignment="1">
      <alignment horizontal="right"/>
    </xf>
    <xf numFmtId="0" fontId="3" fillId="0" borderId="28" xfId="75" applyFont="1" applyBorder="1" applyAlignment="1">
      <alignment horizontal="right"/>
    </xf>
    <xf numFmtId="181" fontId="3" fillId="0" borderId="24" xfId="75" applyNumberFormat="1" applyFont="1" applyBorder="1"/>
    <xf numFmtId="181" fontId="3" fillId="0" borderId="0" xfId="75" applyNumberFormat="1" applyFont="1" applyBorder="1"/>
    <xf numFmtId="181" fontId="3" fillId="0" borderId="25" xfId="75" applyNumberFormat="1" applyFont="1" applyBorder="1"/>
    <xf numFmtId="0" fontId="3" fillId="0" borderId="24" xfId="75" applyFont="1" applyBorder="1"/>
    <xf numFmtId="0" fontId="3" fillId="0" borderId="0" xfId="75" applyFont="1" applyBorder="1"/>
    <xf numFmtId="0" fontId="3" fillId="0" borderId="25" xfId="75" applyFont="1" applyBorder="1"/>
    <xf numFmtId="0" fontId="3" fillId="0" borderId="29" xfId="75" applyFont="1" applyBorder="1"/>
    <xf numFmtId="0" fontId="3" fillId="0" borderId="30" xfId="75" applyFont="1" applyBorder="1"/>
    <xf numFmtId="0" fontId="3" fillId="0" borderId="31" xfId="75" applyFont="1" applyBorder="1"/>
    <xf numFmtId="1" fontId="4" fillId="0" borderId="8" xfId="75" quotePrefix="1" applyNumberFormat="1" applyFont="1" applyBorder="1"/>
    <xf numFmtId="183" fontId="3" fillId="0" borderId="8" xfId="76" applyNumberFormat="1" applyFont="1" applyBorder="1"/>
    <xf numFmtId="2" fontId="4" fillId="0" borderId="0" xfId="0" applyNumberFormat="1" applyFont="1"/>
    <xf numFmtId="1" fontId="5" fillId="0" borderId="8" xfId="0" applyNumberFormat="1" applyFont="1" applyBorder="1"/>
    <xf numFmtId="2" fontId="2" fillId="0" borderId="8" xfId="0" applyNumberFormat="1" applyFont="1" applyBorder="1"/>
    <xf numFmtId="184" fontId="1" fillId="0" borderId="0" xfId="0" applyNumberFormat="1" applyFont="1"/>
    <xf numFmtId="1" fontId="2" fillId="0" borderId="8" xfId="0" applyNumberFormat="1" applyFont="1" applyBorder="1"/>
    <xf numFmtId="185" fontId="11" fillId="0" borderId="23" xfId="77" applyNumberFormat="1" applyFont="1" applyBorder="1"/>
    <xf numFmtId="10" fontId="12" fillId="0" borderId="0" xfId="0" applyNumberFormat="1" applyFont="1"/>
    <xf numFmtId="10" fontId="0" fillId="0" borderId="32" xfId="0" applyNumberFormat="1" applyBorder="1"/>
    <xf numFmtId="183" fontId="0" fillId="0" borderId="33" xfId="0" applyNumberFormat="1" applyBorder="1"/>
    <xf numFmtId="0" fontId="0" fillId="0" borderId="9" xfId="0" applyBorder="1"/>
    <xf numFmtId="0" fontId="0" fillId="0" borderId="12" xfId="0" applyBorder="1"/>
    <xf numFmtId="0" fontId="0" fillId="0" borderId="14" xfId="0" applyBorder="1"/>
    <xf numFmtId="9" fontId="0" fillId="0" borderId="33" xfId="0" applyNumberFormat="1" applyBorder="1"/>
    <xf numFmtId="9" fontId="0" fillId="0" borderId="23" xfId="0" applyNumberFormat="1" applyBorder="1"/>
    <xf numFmtId="9" fontId="0" fillId="0" borderId="34" xfId="0" applyNumberFormat="1" applyBorder="1"/>
    <xf numFmtId="0" fontId="2" fillId="0" borderId="0" xfId="0" applyFont="1" applyBorder="1"/>
    <xf numFmtId="0" fontId="2" fillId="0" borderId="0" xfId="0" applyFont="1" applyAlignment="1">
      <alignment horizontal="center"/>
    </xf>
    <xf numFmtId="0" fontId="2" fillId="0" borderId="26" xfId="0" applyFont="1" applyBorder="1"/>
    <xf numFmtId="0" fontId="2" fillId="0" borderId="28" xfId="0" applyFont="1" applyBorder="1"/>
    <xf numFmtId="0" fontId="2" fillId="0" borderId="0" xfId="0" quotePrefix="1" applyFont="1" applyBorder="1"/>
    <xf numFmtId="184" fontId="2" fillId="0" borderId="28" xfId="0" applyNumberFormat="1" applyFont="1" applyBorder="1"/>
    <xf numFmtId="0" fontId="2" fillId="0" borderId="24" xfId="0" applyFont="1" applyBorder="1"/>
    <xf numFmtId="184" fontId="2" fillId="0" borderId="25" xfId="0" applyNumberFormat="1" applyFont="1" applyBorder="1"/>
    <xf numFmtId="0" fontId="2" fillId="0" borderId="29" xfId="0" applyFont="1" applyBorder="1"/>
    <xf numFmtId="184" fontId="2" fillId="0" borderId="31" xfId="0" applyNumberFormat="1" applyFont="1" applyBorder="1"/>
    <xf numFmtId="184" fontId="2" fillId="0" borderId="0" xfId="0" applyNumberFormat="1" applyFont="1" applyBorder="1"/>
    <xf numFmtId="0" fontId="1" fillId="0" borderId="0" xfId="0" quotePrefix="1" applyFont="1" applyBorder="1"/>
    <xf numFmtId="0" fontId="2" fillId="0" borderId="0" xfId="0" quotePrefix="1" applyFont="1" applyAlignment="1">
      <alignment horizontal="left"/>
    </xf>
    <xf numFmtId="183" fontId="3" fillId="0" borderId="0" xfId="77" applyNumberFormat="1" applyFont="1"/>
    <xf numFmtId="0" fontId="0" fillId="0" borderId="0" xfId="75" applyFont="1"/>
    <xf numFmtId="0" fontId="35" fillId="0" borderId="0" xfId="0" applyFont="1"/>
    <xf numFmtId="2" fontId="35" fillId="0" borderId="0" xfId="0" applyNumberFormat="1" applyFont="1"/>
    <xf numFmtId="0" fontId="36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10" fontId="35" fillId="0" borderId="0" xfId="0" applyNumberFormat="1" applyFont="1"/>
    <xf numFmtId="0" fontId="0" fillId="0" borderId="0" xfId="75" applyFont="1" applyBorder="1"/>
    <xf numFmtId="1" fontId="4" fillId="0" borderId="0" xfId="75" quotePrefix="1" applyNumberFormat="1" applyFont="1" applyBorder="1"/>
    <xf numFmtId="1" fontId="1" fillId="0" borderId="0" xfId="75" quotePrefix="1" applyNumberFormat="1" applyFont="1"/>
    <xf numFmtId="186" fontId="0" fillId="0" borderId="0" xfId="0" applyNumberFormat="1"/>
    <xf numFmtId="0" fontId="0" fillId="0" borderId="0" xfId="0" applyFont="1"/>
  </cellXfs>
  <cellStyles count="79">
    <cellStyle name="??" xfId="78"/>
    <cellStyle name="????" xfId="73"/>
    <cellStyle name="?????" xfId="10"/>
    <cellStyle name="?????????" xfId="2"/>
    <cellStyle name="??????????" xfId="62"/>
    <cellStyle name="???????????" xfId="1"/>
    <cellStyle name="?????????????? 1" xfId="3"/>
    <cellStyle name="?????????????? 2" xfId="4"/>
    <cellStyle name="?????????????? 3" xfId="5"/>
    <cellStyle name="?????????????? 4" xfId="6"/>
    <cellStyle name="?????????????? 5" xfId="7"/>
    <cellStyle name="?????????????? 6" xfId="8"/>
    <cellStyle name="????????±?" xfId="24"/>
    <cellStyle name="??????±?" xfId="25"/>
    <cellStyle name="???÷??×????? 1" xfId="63"/>
    <cellStyle name="???÷??×????? 2" xfId="64"/>
    <cellStyle name="???÷??×????? 3" xfId="65"/>
    <cellStyle name="???÷??×????? 4" xfId="66"/>
    <cellStyle name="???÷??×????? 5" xfId="67"/>
    <cellStyle name="???÷??×????? 6" xfId="68"/>
    <cellStyle name="??¨???" xfId="11"/>
    <cellStyle name="??¨??? 1" xfId="12"/>
    <cellStyle name="??¨??? 2" xfId="13"/>
    <cellStyle name="??¨??? 3" xfId="14"/>
    <cellStyle name="??¨??? 4" xfId="15"/>
    <cellStyle name="??×?" xfId="21"/>
    <cellStyle name="?¨??¨???????" xfId="9"/>
    <cellStyle name="?ì?é??????" xfId="23"/>
    <cellStyle name="±ê??" xfId="16"/>
    <cellStyle name="±ê?? 1" xfId="17"/>
    <cellStyle name="±ê?? 2" xfId="18"/>
    <cellStyle name="±ê?? 3" xfId="19"/>
    <cellStyle name="±ê?? 4" xfId="20"/>
    <cellStyle name="×???" xfId="22"/>
    <cellStyle name="20% - ?????????????? 1" xfId="26"/>
    <cellStyle name="20% - ?????????????? 2" xfId="27"/>
    <cellStyle name="20% - ?????????????? 3" xfId="28"/>
    <cellStyle name="20% - ?????????????? 4" xfId="29"/>
    <cellStyle name="20% - ?????????????? 5" xfId="30"/>
    <cellStyle name="20% - ?????????????? 6" xfId="31"/>
    <cellStyle name="20% - ???÷??×????? 1" xfId="32"/>
    <cellStyle name="20% - ???÷??×????? 2" xfId="33"/>
    <cellStyle name="20% - ???÷??×????? 3" xfId="34"/>
    <cellStyle name="20% - ???÷??×????? 4" xfId="35"/>
    <cellStyle name="20% - ???÷??×????? 5" xfId="36"/>
    <cellStyle name="20% - ???÷??×????? 6" xfId="37"/>
    <cellStyle name="40% - ?????????????? 1" xfId="38"/>
    <cellStyle name="40% - ?????????????? 2" xfId="39"/>
    <cellStyle name="40% - ?????????????? 3" xfId="40"/>
    <cellStyle name="40% - ?????????????? 4" xfId="41"/>
    <cellStyle name="40% - ?????????????? 5" xfId="42"/>
    <cellStyle name="40% - ?????????????? 6" xfId="43"/>
    <cellStyle name="40% - ???÷??×????? 1" xfId="44"/>
    <cellStyle name="40% - ???÷??×????? 2" xfId="45"/>
    <cellStyle name="40% - ???÷??×????? 3" xfId="46"/>
    <cellStyle name="40% - ???÷??×????? 4" xfId="47"/>
    <cellStyle name="40% - ???÷??×????? 5" xfId="48"/>
    <cellStyle name="40% - ???÷??×????? 6" xfId="49"/>
    <cellStyle name="60% - ?????????????? 1" xfId="50"/>
    <cellStyle name="60% - ?????????????? 2" xfId="51"/>
    <cellStyle name="60% - ?????????????? 3" xfId="52"/>
    <cellStyle name="60% - ?????????????? 4" xfId="53"/>
    <cellStyle name="60% - ?????????????? 5" xfId="54"/>
    <cellStyle name="60% - ?????????????? 6" xfId="55"/>
    <cellStyle name="60% - ???÷??×????? 1" xfId="56"/>
    <cellStyle name="60% - ???÷??×????? 2" xfId="57"/>
    <cellStyle name="60% - ???÷??×????? 3" xfId="58"/>
    <cellStyle name="60% - ???÷??×????? 4" xfId="59"/>
    <cellStyle name="60% - ???÷??×????? 5" xfId="60"/>
    <cellStyle name="60% - ???÷??×????? 6" xfId="61"/>
    <cellStyle name="Comma [0]_AMFExcel.xls Chart 1" xfId="69"/>
    <cellStyle name="Comma_AMFExcel.xls Chart 1" xfId="70"/>
    <cellStyle name="Currency [0]_AMFExcel.xls Chart 1" xfId="71"/>
    <cellStyle name="Currency_AMFExcel.xls Chart 1" xfId="72"/>
    <cellStyle name="Normal_AMFExcel.xls Chart 1" xfId="74"/>
    <cellStyle name="Normal_Book1" xfId="75"/>
    <cellStyle name="Normal_ch2pic" xfId="76"/>
    <cellStyle name="Normal_MATRIX" xfId="77"/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en-US"/>
              <a:t>Cumulative Frequency</a:t>
            </a:r>
          </a:p>
        </c:rich>
      </c:tx>
      <c:layout>
        <c:manualLayout>
          <c:xMode val="edge"/>
          <c:yMode val="edge"/>
          <c:x val="0.35521260633733898"/>
          <c:y val="2.8000095703452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776105449971995E-2"/>
          <c:y val="0.17200058789263437"/>
          <c:w val="0.88996201913865913"/>
          <c:h val="0.680002324226694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Frequency!$G$5:$G$14</c:f>
              <c:numCache>
                <c:formatCode>0.00</c:formatCode>
                <c:ptCount val="10"/>
                <c:pt idx="0">
                  <c:v>-0.16</c:v>
                </c:pt>
                <c:pt idx="1">
                  <c:v>-0.12</c:v>
                </c:pt>
                <c:pt idx="2">
                  <c:v>-0.08</c:v>
                </c:pt>
                <c:pt idx="3">
                  <c:v>-0.04</c:v>
                </c:pt>
                <c:pt idx="4">
                  <c:v>0</c:v>
                </c:pt>
                <c:pt idx="5">
                  <c:v>0.04</c:v>
                </c:pt>
                <c:pt idx="6">
                  <c:v>0.08</c:v>
                </c:pt>
                <c:pt idx="7">
                  <c:v>0.12</c:v>
                </c:pt>
                <c:pt idx="8">
                  <c:v>0.16</c:v>
                </c:pt>
                <c:pt idx="9">
                  <c:v>0.2</c:v>
                </c:pt>
              </c:numCache>
            </c:numRef>
          </c:xVal>
          <c:yVal>
            <c:numRef>
              <c:f>Frequency!$J$5:$J$14</c:f>
              <c:numCache>
                <c:formatCode>0%</c:formatCode>
                <c:ptCount val="10"/>
                <c:pt idx="0">
                  <c:v>0</c:v>
                </c:pt>
                <c:pt idx="1">
                  <c:v>9.6774193548387094E-2</c:v>
                </c:pt>
                <c:pt idx="2">
                  <c:v>0.16129032258064516</c:v>
                </c:pt>
                <c:pt idx="3">
                  <c:v>0.27419354838709675</c:v>
                </c:pt>
                <c:pt idx="4">
                  <c:v>0.43548387096774188</c:v>
                </c:pt>
                <c:pt idx="5">
                  <c:v>0.5161290322580645</c:v>
                </c:pt>
                <c:pt idx="6">
                  <c:v>0.77419354838709675</c:v>
                </c:pt>
                <c:pt idx="7">
                  <c:v>0.91935483870967738</c:v>
                </c:pt>
                <c:pt idx="8">
                  <c:v>0.9838709677419355</c:v>
                </c:pt>
                <c:pt idx="9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31463872"/>
        <c:axId val="-1531461152"/>
      </c:scatterChart>
      <c:valAx>
        <c:axId val="-1531463872"/>
        <c:scaling>
          <c:orientation val="minMax"/>
          <c:max val="0.2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altLang="en-US"/>
                  <a:t>ln(return)</a:t>
                </a:r>
              </a:p>
            </c:rich>
          </c:tx>
          <c:layout>
            <c:manualLayout>
              <c:xMode val="edge"/>
              <c:yMode val="edge"/>
              <c:x val="0.7895758477824546"/>
              <c:y val="0.884003021494702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-1531461152"/>
        <c:crosses val="autoZero"/>
        <c:crossBetween val="midCat"/>
        <c:majorUnit val="0.1"/>
      </c:valAx>
      <c:valAx>
        <c:axId val="-1531461152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-1531463872"/>
        <c:crosses val="autoZero"/>
        <c:crossBetween val="midCat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en-US"/>
              <a:t>Cumulative Frequency from quartiles</a:t>
            </a:r>
          </a:p>
        </c:rich>
      </c:tx>
      <c:layout>
        <c:manualLayout>
          <c:xMode val="edge"/>
          <c:yMode val="edge"/>
          <c:x val="0.24855520559934124"/>
          <c:y val="2.7888568284048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657105264952869E-2"/>
          <c:y val="0.17928365325459841"/>
          <c:w val="0.89017445726275701"/>
          <c:h val="0.6733097200006030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Frequency!$H$21:$H$25</c:f>
              <c:numCache>
                <c:formatCode>0.000</c:formatCode>
                <c:ptCount val="5"/>
                <c:pt idx="0">
                  <c:v>-0.1532677364032175</c:v>
                </c:pt>
                <c:pt idx="1">
                  <c:v>-4.3534002023728369E-2</c:v>
                </c:pt>
                <c:pt idx="2">
                  <c:v>2.844053880401657E-2</c:v>
                </c:pt>
                <c:pt idx="3">
                  <c:v>7.5617072578739175E-2</c:v>
                </c:pt>
                <c:pt idx="4">
                  <c:v>0.19251938177040057</c:v>
                </c:pt>
              </c:numCache>
            </c:numRef>
          </c:xVal>
          <c:yVal>
            <c:numRef>
              <c:f>Frequency!$I$21:$I$25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31462240"/>
        <c:axId val="-1531457344"/>
      </c:scatterChart>
      <c:valAx>
        <c:axId val="-1531462240"/>
        <c:scaling>
          <c:orientation val="minMax"/>
          <c:max val="0.2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altLang="en-US"/>
                  <a:t>ln(return)</a:t>
                </a:r>
              </a:p>
            </c:rich>
          </c:tx>
          <c:layout>
            <c:manualLayout>
              <c:xMode val="edge"/>
              <c:yMode val="edge"/>
              <c:x val="0.79768879936532766"/>
              <c:y val="0.88446602272268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-1531457344"/>
        <c:crosses val="autoZero"/>
        <c:crossBetween val="midCat"/>
        <c:majorUnit val="0.1"/>
      </c:valAx>
      <c:valAx>
        <c:axId val="-153145734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-1531462240"/>
        <c:crosses val="autoZero"/>
        <c:crossBetween val="midCat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baseline="0">
                <a:effectLst/>
              </a:rPr>
              <a:t>Cumulative Frequency</a:t>
            </a:r>
            <a:r>
              <a:rPr lang="en-US" altLang="zh-CN" baseline="0"/>
              <a:t> 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Frequency!$G$5:$G$14</c:f>
              <c:numCache>
                <c:formatCode>0.00</c:formatCode>
                <c:ptCount val="10"/>
                <c:pt idx="0">
                  <c:v>-0.16</c:v>
                </c:pt>
                <c:pt idx="1">
                  <c:v>-0.12</c:v>
                </c:pt>
                <c:pt idx="2">
                  <c:v>-0.08</c:v>
                </c:pt>
                <c:pt idx="3">
                  <c:v>-0.04</c:v>
                </c:pt>
                <c:pt idx="4">
                  <c:v>0</c:v>
                </c:pt>
                <c:pt idx="5">
                  <c:v>0.04</c:v>
                </c:pt>
                <c:pt idx="6">
                  <c:v>0.08</c:v>
                </c:pt>
                <c:pt idx="7">
                  <c:v>0.12</c:v>
                </c:pt>
                <c:pt idx="8">
                  <c:v>0.16</c:v>
                </c:pt>
                <c:pt idx="9">
                  <c:v>0.2</c:v>
                </c:pt>
              </c:numCache>
            </c:numRef>
          </c:cat>
          <c:val>
            <c:numRef>
              <c:f>Frequency!$J$5:$J$14</c:f>
              <c:numCache>
                <c:formatCode>0%</c:formatCode>
                <c:ptCount val="10"/>
                <c:pt idx="0">
                  <c:v>0</c:v>
                </c:pt>
                <c:pt idx="1">
                  <c:v>9.6774193548387094E-2</c:v>
                </c:pt>
                <c:pt idx="2">
                  <c:v>0.16129032258064516</c:v>
                </c:pt>
                <c:pt idx="3">
                  <c:v>0.27419354838709675</c:v>
                </c:pt>
                <c:pt idx="4">
                  <c:v>0.43548387096774188</c:v>
                </c:pt>
                <c:pt idx="5">
                  <c:v>0.5161290322580645</c:v>
                </c:pt>
                <c:pt idx="6">
                  <c:v>0.77419354838709675</c:v>
                </c:pt>
                <c:pt idx="7">
                  <c:v>0.91935483870967738</c:v>
                </c:pt>
                <c:pt idx="8">
                  <c:v>0.9838709677419355</c:v>
                </c:pt>
                <c:pt idx="9">
                  <c:v>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-1531472576"/>
        <c:axId val="-1531471488"/>
      </c:lineChart>
      <c:catAx>
        <c:axId val="-153147257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31471488"/>
        <c:crosses val="autoZero"/>
        <c:auto val="1"/>
        <c:lblAlgn val="ctr"/>
        <c:lblOffset val="100"/>
        <c:noMultiLvlLbl val="0"/>
      </c:catAx>
      <c:valAx>
        <c:axId val="-153147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3147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Compounding/Discounting Factors </a:t>
            </a:r>
          </a:p>
        </c:rich>
      </c:tx>
      <c:layout>
        <c:manualLayout>
          <c:xMode val="edge"/>
          <c:yMode val="edge"/>
          <c:x val="0.31535317628955328"/>
          <c:y val="2.3178864161281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60189619550327"/>
          <c:y val="0.14569571758520083"/>
          <c:w val="0.77178540512969618"/>
          <c:h val="0.7152335226909858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CompoundDTab!$D$15</c:f>
              <c:strCache>
                <c:ptCount val="1"/>
                <c:pt idx="0">
                  <c:v>compound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CompoundDTab!$C$17:$C$26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CompoundDTab!$D$17:$D$26</c:f>
              <c:numCache>
                <c:formatCode>0.000</c:formatCode>
                <c:ptCount val="10"/>
                <c:pt idx="0">
                  <c:v>1.0512710963760241</c:v>
                </c:pt>
                <c:pt idx="1">
                  <c:v>1.1051709180756477</c:v>
                </c:pt>
                <c:pt idx="2">
                  <c:v>1.1618342427282831</c:v>
                </c:pt>
                <c:pt idx="3">
                  <c:v>1.2214027581601699</c:v>
                </c:pt>
                <c:pt idx="4">
                  <c:v>1.2840254166877414</c:v>
                </c:pt>
                <c:pt idx="5">
                  <c:v>1.3498588075760032</c:v>
                </c:pt>
                <c:pt idx="6">
                  <c:v>1.4190675485932573</c:v>
                </c:pt>
                <c:pt idx="7">
                  <c:v>1.4918246976412703</c:v>
                </c:pt>
                <c:pt idx="8">
                  <c:v>1.5683121854901689</c:v>
                </c:pt>
                <c:pt idx="9">
                  <c:v>1.6487212707001282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CompoundDTab!$E$15</c:f>
              <c:strCache>
                <c:ptCount val="1"/>
                <c:pt idx="0">
                  <c:v>discount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CompoundDTab!$C$17:$C$26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CompoundDTab!$E$17:$E$26</c:f>
              <c:numCache>
                <c:formatCode>0.000</c:formatCode>
                <c:ptCount val="10"/>
                <c:pt idx="0">
                  <c:v>0.95122942450071402</c:v>
                </c:pt>
                <c:pt idx="1">
                  <c:v>0.90483741803595952</c:v>
                </c:pt>
                <c:pt idx="2">
                  <c:v>0.86070797642505781</c:v>
                </c:pt>
                <c:pt idx="3">
                  <c:v>0.81873075307798182</c:v>
                </c:pt>
                <c:pt idx="4">
                  <c:v>0.77880078307140488</c:v>
                </c:pt>
                <c:pt idx="5">
                  <c:v>0.74081822068171788</c:v>
                </c:pt>
                <c:pt idx="6">
                  <c:v>0.70468808971871344</c:v>
                </c:pt>
                <c:pt idx="7">
                  <c:v>0.67032004603563933</c:v>
                </c:pt>
                <c:pt idx="8">
                  <c:v>0.63762815162177333</c:v>
                </c:pt>
                <c:pt idx="9">
                  <c:v>0.60653065971263342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38241728"/>
        <c:axId val="-1538237376"/>
      </c:scatterChart>
      <c:valAx>
        <c:axId val="-1538241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t years</a:t>
                </a:r>
              </a:p>
            </c:rich>
          </c:tx>
          <c:layout>
            <c:manualLayout>
              <c:xMode val="edge"/>
              <c:yMode val="edge"/>
              <c:x val="0.79253232462242984"/>
              <c:y val="0.907286968598750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538237376"/>
        <c:crossesAt val="0"/>
        <c:crossBetween val="midCat"/>
        <c:majorUnit val="1"/>
      </c:valAx>
      <c:valAx>
        <c:axId val="-1538237376"/>
        <c:scaling>
          <c:orientation val="minMax"/>
          <c:max val="2"/>
          <c:min val="0"/>
        </c:scaling>
        <c:delete val="0"/>
        <c:axPos val="l"/>
        <c:numFmt formatCode="0.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538241728"/>
        <c:crosses val="autoZero"/>
        <c:crossBetween val="midCat"/>
        <c:majorUnit val="0.25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539450297806433"/>
          <c:y val="0.66887579436842204"/>
          <c:w val="0.27593402925335914"/>
          <c:h val="0.15894078282021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en-US"/>
              <a:t>Discount factors, differing rates</a:t>
            </a:r>
          </a:p>
        </c:rich>
      </c:tx>
      <c:layout>
        <c:manualLayout>
          <c:xMode val="edge"/>
          <c:yMode val="edge"/>
          <c:x val="0.29213516536545819"/>
          <c:y val="3.84616674458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505727138707461E-2"/>
          <c:y val="0.189561075268673"/>
          <c:w val="0.85955154424836733"/>
          <c:h val="0.64011203677682327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CompoundDTab!$D$30</c:f>
              <c:strCache>
                <c:ptCount val="1"/>
                <c:pt idx="0">
                  <c:v>3.0%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CompoundDTab!$D$31:$D$40</c:f>
              <c:numCache>
                <c:formatCode>0.000</c:formatCode>
                <c:ptCount val="10"/>
                <c:pt idx="0">
                  <c:v>0.97044553354850815</c:v>
                </c:pt>
                <c:pt idx="1">
                  <c:v>0.94176453358424872</c:v>
                </c:pt>
                <c:pt idx="2">
                  <c:v>0.91393118527122819</c:v>
                </c:pt>
                <c:pt idx="3">
                  <c:v>0.88692043671715748</c:v>
                </c:pt>
                <c:pt idx="4">
                  <c:v>0.86070797642505781</c:v>
                </c:pt>
                <c:pt idx="5">
                  <c:v>0.835270211411272</c:v>
                </c:pt>
                <c:pt idx="6">
                  <c:v>0.81058424597018708</c:v>
                </c:pt>
                <c:pt idx="7">
                  <c:v>0.78662786106655347</c:v>
                </c:pt>
                <c:pt idx="8">
                  <c:v>0.76337949433685315</c:v>
                </c:pt>
                <c:pt idx="9">
                  <c:v>0.74081822068171788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CompoundDTab!$E$30</c:f>
              <c:strCache>
                <c:ptCount val="1"/>
                <c:pt idx="0">
                  <c:v>3.5%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CompoundDTab!$E$31:$E$40</c:f>
              <c:numCache>
                <c:formatCode>0.000</c:formatCode>
                <c:ptCount val="10"/>
                <c:pt idx="0">
                  <c:v>0.96560541625756646</c:v>
                </c:pt>
                <c:pt idx="1">
                  <c:v>0.93239381990594827</c:v>
                </c:pt>
                <c:pt idx="2">
                  <c:v>0.90032452258626561</c:v>
                </c:pt>
                <c:pt idx="3">
                  <c:v>0.86935823539880586</c:v>
                </c:pt>
                <c:pt idx="4">
                  <c:v>0.83945702076920736</c:v>
                </c:pt>
                <c:pt idx="5">
                  <c:v>0.81058424597018708</c:v>
                </c:pt>
                <c:pt idx="6">
                  <c:v>0.78270453824186814</c:v>
                </c:pt>
                <c:pt idx="7">
                  <c:v>0.75578374145572547</c:v>
                </c:pt>
                <c:pt idx="8">
                  <c:v>0.72978887426905681</c:v>
                </c:pt>
                <c:pt idx="9">
                  <c:v>0.70468808971871344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CompoundDTab!$F$30</c:f>
              <c:strCache>
                <c:ptCount val="1"/>
                <c:pt idx="0">
                  <c:v>4.0%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CompoundDTab!$F$31:$F$40</c:f>
              <c:numCache>
                <c:formatCode>0.000</c:formatCode>
                <c:ptCount val="10"/>
                <c:pt idx="0">
                  <c:v>0.96078943915232318</c:v>
                </c:pt>
                <c:pt idx="1">
                  <c:v>0.92311634638663576</c:v>
                </c:pt>
                <c:pt idx="2">
                  <c:v>0.88692043671715748</c:v>
                </c:pt>
                <c:pt idx="3">
                  <c:v>0.85214378896621135</c:v>
                </c:pt>
                <c:pt idx="4">
                  <c:v>0.81873075307798182</c:v>
                </c:pt>
                <c:pt idx="5">
                  <c:v>0.78662786106655347</c:v>
                </c:pt>
                <c:pt idx="6">
                  <c:v>0.75578374145572547</c:v>
                </c:pt>
                <c:pt idx="7">
                  <c:v>0.72614903707369094</c:v>
                </c:pt>
                <c:pt idx="8">
                  <c:v>0.69767632607103103</c:v>
                </c:pt>
                <c:pt idx="9">
                  <c:v>0.67032004603563933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CompoundDTab!$G$30</c:f>
              <c:strCache>
                <c:ptCount val="1"/>
                <c:pt idx="0">
                  <c:v>5.0%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CompoundDTab!$G$31:$G$40</c:f>
              <c:numCache>
                <c:formatCode>0.000</c:formatCode>
                <c:ptCount val="10"/>
                <c:pt idx="0">
                  <c:v>0.95122942450071402</c:v>
                </c:pt>
                <c:pt idx="1">
                  <c:v>0.90483741803595952</c:v>
                </c:pt>
                <c:pt idx="2">
                  <c:v>0.86070797642505781</c:v>
                </c:pt>
                <c:pt idx="3">
                  <c:v>0.81873075307798182</c:v>
                </c:pt>
                <c:pt idx="4">
                  <c:v>0.77880078307140488</c:v>
                </c:pt>
                <c:pt idx="5">
                  <c:v>0.74081822068171788</c:v>
                </c:pt>
                <c:pt idx="6">
                  <c:v>0.70468808971871344</c:v>
                </c:pt>
                <c:pt idx="7">
                  <c:v>0.67032004603563933</c:v>
                </c:pt>
                <c:pt idx="8">
                  <c:v>0.63762815162177333</c:v>
                </c:pt>
                <c:pt idx="9">
                  <c:v>0.60653065971263342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CompoundDTab!$H$30</c:f>
              <c:strCache>
                <c:ptCount val="1"/>
                <c:pt idx="0">
                  <c:v>5.5%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CompoundDTab!$H$31:$H$40</c:f>
              <c:numCache>
                <c:formatCode>0.000</c:formatCode>
                <c:ptCount val="10"/>
                <c:pt idx="0">
                  <c:v>0.94648514795348382</c:v>
                </c:pt>
                <c:pt idx="1">
                  <c:v>0.89583413529652822</c:v>
                </c:pt>
                <c:pt idx="2">
                  <c:v>0.84789370408791587</c:v>
                </c:pt>
                <c:pt idx="3">
                  <c:v>0.80251879796247849</c:v>
                </c:pt>
                <c:pt idx="4">
                  <c:v>0.75957212322496848</c:v>
                </c:pt>
                <c:pt idx="5">
                  <c:v>0.71892373343192617</c:v>
                </c:pt>
                <c:pt idx="6">
                  <c:v>0.68045063620458768</c:v>
                </c:pt>
                <c:pt idx="7">
                  <c:v>0.64403642108314141</c:v>
                </c:pt>
                <c:pt idx="8">
                  <c:v>0.60957090729630925</c:v>
                </c:pt>
                <c:pt idx="9">
                  <c:v>0.57694981038048665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CompoundDTab!$I$30</c:f>
              <c:strCache>
                <c:ptCount val="1"/>
                <c:pt idx="0">
                  <c:v>6.0%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CompoundDTab!$C$31:$C$40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CompoundDTab!$I$31:$I$40</c:f>
              <c:numCache>
                <c:formatCode>0.000</c:formatCode>
                <c:ptCount val="10"/>
                <c:pt idx="0">
                  <c:v>0.94176453358424872</c:v>
                </c:pt>
                <c:pt idx="1">
                  <c:v>0.88692043671715748</c:v>
                </c:pt>
                <c:pt idx="2">
                  <c:v>0.835270211411272</c:v>
                </c:pt>
                <c:pt idx="3">
                  <c:v>0.78662786106655347</c:v>
                </c:pt>
                <c:pt idx="4">
                  <c:v>0.74081822068171788</c:v>
                </c:pt>
                <c:pt idx="5">
                  <c:v>0.69767632607103103</c:v>
                </c:pt>
                <c:pt idx="6">
                  <c:v>0.65704681981505675</c:v>
                </c:pt>
                <c:pt idx="7">
                  <c:v>0.61878339180614084</c:v>
                </c:pt>
                <c:pt idx="8">
                  <c:v>0.58274825237398964</c:v>
                </c:pt>
                <c:pt idx="9">
                  <c:v>0.54881163609402639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00298560"/>
        <c:axId val="-1439940912"/>
      </c:scatterChart>
      <c:valAx>
        <c:axId val="-180029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t yrs</a:t>
                </a:r>
              </a:p>
            </c:rich>
          </c:tx>
          <c:layout>
            <c:manualLayout>
              <c:xMode val="edge"/>
              <c:yMode val="edge"/>
              <c:x val="0.87266017346348401"/>
              <c:y val="0.920332756739209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439940912"/>
        <c:crossesAt val="0.5"/>
        <c:crossBetween val="midCat"/>
        <c:majorUnit val="1"/>
      </c:valAx>
      <c:valAx>
        <c:axId val="-1439940912"/>
        <c:scaling>
          <c:orientation val="minMax"/>
          <c:max val="1"/>
          <c:min val="0.5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800298560"/>
        <c:crosses val="autoZero"/>
        <c:crossBetween val="midCat"/>
        <c:majorUnit val="0.25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853417680187715"/>
          <c:y val="0.41512963077181092"/>
          <c:w val="0.14291242549428795"/>
          <c:h val="0.379614774856437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236220</xdr:colOff>
      <xdr:row>3</xdr:row>
      <xdr:rowOff>38100</xdr:rowOff>
    </xdr:from>
    <xdr:to>
      <xdr:col>16</xdr:col>
      <xdr:colOff>525780</xdr:colOff>
      <xdr:row>14</xdr:row>
      <xdr:rowOff>91440</xdr:rowOff>
    </xdr:to>
    <xdr:graphicFrame macro="">
      <xdr:nvGraphicFramePr>
        <xdr:cNvPr id="1091" name="????¨?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259080</xdr:colOff>
      <xdr:row>16</xdr:row>
      <xdr:rowOff>152400</xdr:rowOff>
    </xdr:from>
    <xdr:to>
      <xdr:col>16</xdr:col>
      <xdr:colOff>556260</xdr:colOff>
      <xdr:row>28</xdr:row>
      <xdr:rowOff>45720</xdr:rowOff>
    </xdr:to>
    <xdr:graphicFrame macro="">
      <xdr:nvGraphicFramePr>
        <xdr:cNvPr id="1092" name="????¨?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197068</xdr:colOff>
      <xdr:row>2</xdr:row>
      <xdr:rowOff>131380</xdr:rowOff>
    </xdr:from>
    <xdr:to>
      <xdr:col>17</xdr:col>
      <xdr:colOff>52551</xdr:colOff>
      <xdr:row>15</xdr:row>
      <xdr:rowOff>32845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274320</xdr:colOff>
      <xdr:row>7</xdr:row>
      <xdr:rowOff>30480</xdr:rowOff>
    </xdr:from>
    <xdr:to>
      <xdr:col>6</xdr:col>
      <xdr:colOff>274320</xdr:colOff>
      <xdr:row>8</xdr:row>
      <xdr:rowOff>144780</xdr:rowOff>
    </xdr:to>
    <xdr:sp macro="" textlink="">
      <xdr:nvSpPr>
        <xdr:cNvPr id="2117" name="Line 1"/>
        <xdr:cNvSpPr>
          <a:spLocks noChangeShapeType="1"/>
        </xdr:cNvSpPr>
      </xdr:nvSpPr>
      <xdr:spPr bwMode="auto">
        <a:xfrm flipH="1" flipV="1">
          <a:off x="4526280" y="1234440"/>
          <a:ext cx="0" cy="28956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 type="triangle" w="med" len="med"/>
        </a:ln>
      </xdr:spPr>
    </xdr:sp>
    <xdr:clientData/>
  </xdr:twoCellAnchor>
  <xdr:twoCellAnchor>
    <xdr:from>
      <xdr:col>4</xdr:col>
      <xdr:colOff>45720</xdr:colOff>
      <xdr:row>4</xdr:row>
      <xdr:rowOff>91440</xdr:rowOff>
    </xdr:from>
    <xdr:to>
      <xdr:col>4</xdr:col>
      <xdr:colOff>350520</xdr:colOff>
      <xdr:row>10</xdr:row>
      <xdr:rowOff>137160</xdr:rowOff>
    </xdr:to>
    <xdr:sp macro="" textlink="">
      <xdr:nvSpPr>
        <xdr:cNvPr id="2118" name="Line 2"/>
        <xdr:cNvSpPr>
          <a:spLocks noChangeShapeType="1"/>
        </xdr:cNvSpPr>
      </xdr:nvSpPr>
      <xdr:spPr bwMode="auto">
        <a:xfrm flipH="1" flipV="1">
          <a:off x="2804160" y="769620"/>
          <a:ext cx="304800" cy="109728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2956</xdr:colOff>
      <xdr:row>12</xdr:row>
      <xdr:rowOff>22860</xdr:rowOff>
    </xdr:from>
    <xdr:to>
      <xdr:col>10</xdr:col>
      <xdr:colOff>605790</xdr:colOff>
      <xdr:row>25</xdr:row>
      <xdr:rowOff>129540</xdr:rowOff>
    </xdr:to>
    <xdr:graphicFrame macro="">
      <xdr:nvGraphicFramePr>
        <xdr:cNvPr id="3218" name="????¨?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262759</xdr:colOff>
      <xdr:row>27</xdr:row>
      <xdr:rowOff>59121</xdr:rowOff>
    </xdr:from>
    <xdr:to>
      <xdr:col>15</xdr:col>
      <xdr:colOff>256190</xdr:colOff>
      <xdr:row>46</xdr:row>
      <xdr:rowOff>26274</xdr:rowOff>
    </xdr:to>
    <xdr:graphicFrame macro="">
      <xdr:nvGraphicFramePr>
        <xdr:cNvPr id="3219" name="????¨?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</xdr:row>
      <xdr:rowOff>76200</xdr:rowOff>
    </xdr:from>
    <xdr:to>
      <xdr:col>3</xdr:col>
      <xdr:colOff>617220</xdr:colOff>
      <xdr:row>9</xdr:row>
      <xdr:rowOff>91440</xdr:rowOff>
    </xdr:to>
    <xdr:sp macro="" textlink="">
      <xdr:nvSpPr>
        <xdr:cNvPr id="3220" name="Line 3"/>
        <xdr:cNvSpPr>
          <a:spLocks noChangeShapeType="1"/>
        </xdr:cNvSpPr>
      </xdr:nvSpPr>
      <xdr:spPr bwMode="auto">
        <a:xfrm flipH="1">
          <a:off x="2583180" y="1447800"/>
          <a:ext cx="617220" cy="18288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 type="triangle" w="med" len="med"/>
        </a:ln>
      </xdr:spPr>
    </xdr:sp>
    <xdr:clientData/>
  </xdr:twoCellAnchor>
  <xdr:twoCellAnchor>
    <xdr:from>
      <xdr:col>3</xdr:col>
      <xdr:colOff>76200</xdr:colOff>
      <xdr:row>10</xdr:row>
      <xdr:rowOff>91440</xdr:rowOff>
    </xdr:from>
    <xdr:to>
      <xdr:col>3</xdr:col>
      <xdr:colOff>601980</xdr:colOff>
      <xdr:row>10</xdr:row>
      <xdr:rowOff>91440</xdr:rowOff>
    </xdr:to>
    <xdr:sp macro="" textlink="">
      <xdr:nvSpPr>
        <xdr:cNvPr id="3221" name="Line 4"/>
        <xdr:cNvSpPr>
          <a:spLocks noChangeShapeType="1"/>
        </xdr:cNvSpPr>
      </xdr:nvSpPr>
      <xdr:spPr bwMode="auto">
        <a:xfrm flipH="1">
          <a:off x="2659380" y="1798320"/>
          <a:ext cx="525780" cy="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 type="triangle" w="med" len="med"/>
        </a:ln>
      </xdr:spPr>
    </xdr:sp>
    <xdr:clientData/>
  </xdr:twoCellAnchor>
  <xdr:twoCellAnchor>
    <xdr:from>
      <xdr:col>1</xdr:col>
      <xdr:colOff>152400</xdr:colOff>
      <xdr:row>27</xdr:row>
      <xdr:rowOff>160020</xdr:rowOff>
    </xdr:from>
    <xdr:to>
      <xdr:col>1</xdr:col>
      <xdr:colOff>571500</xdr:colOff>
      <xdr:row>28</xdr:row>
      <xdr:rowOff>152400</xdr:rowOff>
    </xdr:to>
    <xdr:sp macro="" textlink="">
      <xdr:nvSpPr>
        <xdr:cNvPr id="3222" name="Line 5"/>
        <xdr:cNvSpPr>
          <a:spLocks noChangeShapeType="1"/>
        </xdr:cNvSpPr>
      </xdr:nvSpPr>
      <xdr:spPr bwMode="auto">
        <a:xfrm>
          <a:off x="1455420" y="4739640"/>
          <a:ext cx="419100" cy="16002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6"/>
  <sheetViews>
    <sheetView topLeftCell="A31" zoomScale="145" zoomScaleNormal="145" workbookViewId="0">
      <selection activeCell="B46" sqref="B46"/>
    </sheetView>
  </sheetViews>
  <sheetFormatPr defaultRowHeight="12.75"/>
  <cols>
    <col min="1" max="1" width="10.5" bestFit="1" customWidth="1"/>
    <col min="4" max="6" width="10.5" bestFit="1" customWidth="1"/>
  </cols>
  <sheetData>
    <row r="1" spans="1:4">
      <c r="A1" s="8">
        <v>0.1</v>
      </c>
      <c r="B1">
        <v>1</v>
      </c>
    </row>
    <row r="2" spans="1:4">
      <c r="A2">
        <v>10</v>
      </c>
    </row>
    <row r="3" spans="1:4">
      <c r="A3">
        <f>EXP(A2*A1)</f>
        <v>2.7182818284590451</v>
      </c>
    </row>
    <row r="4" spans="1:4">
      <c r="A4">
        <f>A3/EXP(A1*A2)</f>
        <v>1</v>
      </c>
    </row>
    <row r="6" spans="1:4">
      <c r="A6">
        <v>1000</v>
      </c>
    </row>
    <row r="7" spans="1:4">
      <c r="A7">
        <v>10</v>
      </c>
    </row>
    <row r="8" spans="1:4">
      <c r="A8">
        <v>5</v>
      </c>
    </row>
    <row r="9" spans="1:4">
      <c r="A9">
        <f>LN(A6/A7)/5</f>
        <v>0.92103403719761834</v>
      </c>
    </row>
    <row r="10" spans="1:4">
      <c r="A10">
        <f>A7*EXP(A9*5)</f>
        <v>1000.0000000000005</v>
      </c>
    </row>
    <row r="12" spans="1:4">
      <c r="A12">
        <v>9</v>
      </c>
    </row>
    <row r="13" spans="1:4">
      <c r="A13">
        <f>SQRT(A12)</f>
        <v>3</v>
      </c>
    </row>
    <row r="15" spans="1:4">
      <c r="A15">
        <f ca="1">RAND()</f>
        <v>0.36077929103985207</v>
      </c>
      <c r="B15">
        <f t="shared" ref="B15:D23" ca="1" si="0">RAND()</f>
        <v>0.68309220679720317</v>
      </c>
      <c r="C15">
        <f t="shared" ca="1" si="0"/>
        <v>5.4740520101933532E-3</v>
      </c>
      <c r="D15">
        <f t="shared" ca="1" si="0"/>
        <v>0.44693048905988397</v>
      </c>
    </row>
    <row r="16" spans="1:4">
      <c r="A16">
        <f t="shared" ref="A16:A23" ca="1" si="1">RAND()</f>
        <v>0.49704292620046875</v>
      </c>
      <c r="B16">
        <f t="shared" ca="1" si="0"/>
        <v>0.14682787626461202</v>
      </c>
      <c r="C16">
        <f t="shared" ca="1" si="0"/>
        <v>0.25988462355451636</v>
      </c>
      <c r="D16">
        <f t="shared" ca="1" si="0"/>
        <v>0.65926022012089658</v>
      </c>
    </row>
    <row r="17" spans="1:6">
      <c r="A17">
        <f t="shared" ca="1" si="1"/>
        <v>4.6016054188371736E-2</v>
      </c>
      <c r="B17">
        <f t="shared" ca="1" si="0"/>
        <v>0.38263761535440655</v>
      </c>
      <c r="C17">
        <f t="shared" ca="1" si="0"/>
        <v>0.51718200660575209</v>
      </c>
      <c r="D17">
        <f t="shared" ca="1" si="0"/>
        <v>4.5851187360437029E-2</v>
      </c>
    </row>
    <row r="18" spans="1:6">
      <c r="A18">
        <f t="shared" ca="1" si="1"/>
        <v>0.94017715740484054</v>
      </c>
      <c r="B18">
        <f t="shared" ca="1" si="0"/>
        <v>0.86208381856294658</v>
      </c>
      <c r="C18">
        <f t="shared" ca="1" si="0"/>
        <v>0.90867513283906631</v>
      </c>
      <c r="D18">
        <f t="shared" ca="1" si="0"/>
        <v>0.24943261180440579</v>
      </c>
    </row>
    <row r="19" spans="1:6">
      <c r="A19">
        <f t="shared" ca="1" si="1"/>
        <v>0.87847849531482858</v>
      </c>
      <c r="B19">
        <f t="shared" ca="1" si="0"/>
        <v>0.41917622721743342</v>
      </c>
      <c r="C19">
        <f t="shared" ca="1" si="0"/>
        <v>0.54351761059999903</v>
      </c>
      <c r="D19">
        <f t="shared" ca="1" si="0"/>
        <v>0.21139698590971612</v>
      </c>
    </row>
    <row r="20" spans="1:6">
      <c r="A20">
        <f t="shared" ca="1" si="1"/>
        <v>3.0594855474069704E-2</v>
      </c>
      <c r="B20">
        <f t="shared" ca="1" si="0"/>
        <v>0.41966082197467836</v>
      </c>
      <c r="C20">
        <f t="shared" ca="1" si="0"/>
        <v>0.55257383056467213</v>
      </c>
      <c r="D20">
        <f t="shared" ca="1" si="0"/>
        <v>6.3367027259286002E-2</v>
      </c>
    </row>
    <row r="21" spans="1:6">
      <c r="A21">
        <f t="shared" ca="1" si="1"/>
        <v>0.89761183242042963</v>
      </c>
      <c r="B21">
        <f t="shared" ca="1" si="0"/>
        <v>0.70061471743478587</v>
      </c>
      <c r="C21">
        <f t="shared" ca="1" si="0"/>
        <v>0.35158857089117579</v>
      </c>
      <c r="D21">
        <f t="shared" ca="1" si="0"/>
        <v>0.32297648005968882</v>
      </c>
    </row>
    <row r="22" spans="1:6">
      <c r="A22">
        <f t="shared" ca="1" si="1"/>
        <v>4.6837068231977641E-2</v>
      </c>
      <c r="B22">
        <f t="shared" ca="1" si="0"/>
        <v>0.78564347129184653</v>
      </c>
      <c r="C22">
        <f t="shared" ca="1" si="0"/>
        <v>0.10666362801937423</v>
      </c>
      <c r="D22">
        <f t="shared" ca="1" si="0"/>
        <v>0.40265699534849153</v>
      </c>
    </row>
    <row r="23" spans="1:6">
      <c r="A23">
        <f t="shared" ca="1" si="1"/>
        <v>0.28747404337385907</v>
      </c>
      <c r="B23">
        <f t="shared" ca="1" si="0"/>
        <v>0.83969589335496708</v>
      </c>
      <c r="C23">
        <f t="shared" ca="1" si="0"/>
        <v>0.99331844134034375</v>
      </c>
      <c r="D23">
        <f t="shared" ca="1" si="0"/>
        <v>0.16609288699246538</v>
      </c>
    </row>
    <row r="25" spans="1:6">
      <c r="A25">
        <f>FACT(5)</f>
        <v>120</v>
      </c>
      <c r="B25">
        <f>5*4*3*2*1</f>
        <v>120</v>
      </c>
    </row>
    <row r="26" spans="1:6">
      <c r="A26">
        <f>COMBIN(10,4)</f>
        <v>209.99999999999997</v>
      </c>
    </row>
    <row r="28" spans="1:6">
      <c r="A28">
        <v>1</v>
      </c>
      <c r="B28">
        <v>2</v>
      </c>
    </row>
    <row r="29" spans="1:6">
      <c r="D29">
        <f>SUMPRODUCT(A28:B28,A30:B30)</f>
        <v>11</v>
      </c>
      <c r="E29">
        <f>A28*A30+B28*B30</f>
        <v>11</v>
      </c>
    </row>
    <row r="30" spans="1:6">
      <c r="A30">
        <v>3</v>
      </c>
      <c r="B30">
        <v>4</v>
      </c>
    </row>
    <row r="32" spans="1:6">
      <c r="A32">
        <v>5</v>
      </c>
      <c r="C32">
        <v>7</v>
      </c>
      <c r="E32">
        <f>SUMPRODUCT(A32:A33,C32:C33)</f>
        <v>83</v>
      </c>
      <c r="F32">
        <f>A32*C32+A33*C33</f>
        <v>83</v>
      </c>
    </row>
    <row r="33" spans="1:6">
      <c r="A33">
        <v>6</v>
      </c>
      <c r="C33">
        <v>8</v>
      </c>
    </row>
    <row r="35" spans="1:6">
      <c r="A35">
        <v>9</v>
      </c>
      <c r="B35">
        <v>10</v>
      </c>
      <c r="D35">
        <v>11</v>
      </c>
      <c r="F35" t="e">
        <f>SUMPRODUCT(A35:B35,D35:D36)</f>
        <v>#VALUE!</v>
      </c>
    </row>
    <row r="36" spans="1:6">
      <c r="D36">
        <v>12</v>
      </c>
    </row>
    <row r="41" spans="1:6">
      <c r="A41">
        <v>1</v>
      </c>
      <c r="B41">
        <v>2</v>
      </c>
      <c r="D41">
        <v>5</v>
      </c>
      <c r="F41">
        <f t="array" ref="F41:F42">MMULT(A41:B42,D41:D42)</f>
        <v>17</v>
      </c>
    </row>
    <row r="42" spans="1:6">
      <c r="A42">
        <v>3</v>
      </c>
      <c r="B42">
        <v>4</v>
      </c>
      <c r="D42">
        <v>6</v>
      </c>
      <c r="F42">
        <v>39</v>
      </c>
    </row>
    <row r="44" spans="1:6">
      <c r="D44">
        <v>5</v>
      </c>
      <c r="E44">
        <v>6</v>
      </c>
    </row>
    <row r="45" spans="1:6">
      <c r="A45">
        <f t="array" ref="A45:B46">TRANSPOSE(A41:B42)</f>
        <v>1</v>
      </c>
      <c r="B45">
        <v>3</v>
      </c>
    </row>
    <row r="46" spans="1:6">
      <c r="A46">
        <v>2</v>
      </c>
      <c r="B46">
        <v>4</v>
      </c>
      <c r="D46">
        <f t="array" ref="D46:E46">TRANSPOSE(D41:D42)</f>
        <v>5</v>
      </c>
      <c r="E46">
        <v>6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156"/>
  <sheetViews>
    <sheetView showGridLines="0" zoomScale="145" workbookViewId="0">
      <selection activeCell="M21" sqref="M21"/>
    </sheetView>
  </sheetViews>
  <sheetFormatPr defaultColWidth="10.6640625" defaultRowHeight="12.75"/>
  <cols>
    <col min="1" max="1" width="9.6640625" style="68" customWidth="1"/>
    <col min="2" max="2" width="7.83203125" style="68" customWidth="1"/>
    <col min="3" max="5" width="6.6640625" style="68" customWidth="1"/>
    <col min="6" max="6" width="25.5" style="68" customWidth="1"/>
    <col min="7" max="8" width="7.83203125" style="68" customWidth="1"/>
    <col min="9" max="11" width="6.6640625" style="68" customWidth="1"/>
    <col min="12" max="12" width="4" style="68" customWidth="1"/>
    <col min="13" max="13" width="7.83203125" style="68" customWidth="1"/>
    <col min="14" max="16" width="6.6640625" style="68" customWidth="1"/>
    <col min="17" max="17" width="2.83203125" style="68" customWidth="1"/>
    <col min="18" max="21" width="10.6640625" style="68"/>
    <col min="22" max="23" width="10.83203125" style="68" customWidth="1"/>
    <col min="24" max="24" width="13.6640625" style="68" customWidth="1"/>
    <col min="25" max="16384" width="10.6640625" style="68"/>
  </cols>
  <sheetData>
    <row r="1" spans="1:19">
      <c r="A1" s="42" t="s">
        <v>126</v>
      </c>
      <c r="B1" s="67"/>
    </row>
    <row r="2" spans="1:19">
      <c r="A2" s="66" t="s">
        <v>0</v>
      </c>
      <c r="B2" s="67"/>
      <c r="I2" s="69" t="s">
        <v>1</v>
      </c>
    </row>
    <row r="3" spans="1:19">
      <c r="A3" s="70" t="s">
        <v>2</v>
      </c>
      <c r="B3" s="70" t="s">
        <v>3</v>
      </c>
      <c r="C3" s="69"/>
      <c r="D3" s="69"/>
      <c r="E3" s="69"/>
      <c r="F3" s="69"/>
      <c r="G3" s="70" t="s">
        <v>2</v>
      </c>
      <c r="H3" s="70" t="s">
        <v>3</v>
      </c>
    </row>
    <row r="4" spans="1:19" ht="15.75">
      <c r="A4" s="71" t="s">
        <v>4</v>
      </c>
      <c r="B4" s="71" t="s">
        <v>5</v>
      </c>
      <c r="C4" s="72">
        <v>2</v>
      </c>
      <c r="D4" s="71"/>
      <c r="G4" s="71" t="s">
        <v>6</v>
      </c>
      <c r="H4" s="71" t="s">
        <v>7</v>
      </c>
      <c r="I4" s="73">
        <f t="array" ref="I4:J4">TRANSPOSE(C4:C5)</f>
        <v>2</v>
      </c>
      <c r="J4" s="74">
        <v>4</v>
      </c>
      <c r="M4" s="68">
        <f t="array" ref="M4:N4">TRANSPOSE(C4:C5)</f>
        <v>2</v>
      </c>
      <c r="N4" s="68">
        <v>4</v>
      </c>
    </row>
    <row r="5" spans="1:19">
      <c r="A5" s="71"/>
      <c r="B5" s="75"/>
      <c r="C5" s="72">
        <v>4</v>
      </c>
      <c r="D5" s="71"/>
      <c r="G5" s="71"/>
      <c r="H5" s="75"/>
      <c r="I5" s="76"/>
      <c r="J5" s="71"/>
    </row>
    <row r="6" spans="1:19">
      <c r="A6" s="71"/>
      <c r="B6" s="71"/>
      <c r="C6" s="71"/>
      <c r="D6" s="71"/>
      <c r="G6" s="71"/>
      <c r="H6" s="71"/>
      <c r="I6" s="71"/>
      <c r="J6" s="71"/>
    </row>
    <row r="7" spans="1:19" ht="15.75">
      <c r="A7" s="71" t="s">
        <v>8</v>
      </c>
      <c r="B7" s="75" t="s">
        <v>7</v>
      </c>
      <c r="C7" s="73">
        <v>6</v>
      </c>
      <c r="D7" s="74">
        <v>7</v>
      </c>
      <c r="G7" s="71" t="s">
        <v>9</v>
      </c>
      <c r="H7" s="75" t="s">
        <v>5</v>
      </c>
      <c r="I7" s="72">
        <f t="array" ref="I7:I8">TRANSPOSE(C7:D7)</f>
        <v>6</v>
      </c>
      <c r="J7" s="71"/>
    </row>
    <row r="8" spans="1:19">
      <c r="A8" s="71"/>
      <c r="B8" s="71"/>
      <c r="C8" s="71"/>
      <c r="D8" s="71"/>
      <c r="G8" s="71"/>
      <c r="H8" s="71"/>
      <c r="I8" s="72">
        <v>7</v>
      </c>
      <c r="J8" s="71"/>
    </row>
    <row r="9" spans="1:19">
      <c r="A9" s="71"/>
      <c r="B9" s="67" t="s">
        <v>10</v>
      </c>
      <c r="C9" s="71"/>
      <c r="D9" s="71"/>
      <c r="G9" s="71"/>
      <c r="H9" s="71"/>
      <c r="I9" s="71"/>
      <c r="J9" s="71"/>
    </row>
    <row r="10" spans="1:19" ht="15.75">
      <c r="A10" s="71" t="s">
        <v>11</v>
      </c>
      <c r="B10" s="71" t="s">
        <v>12</v>
      </c>
      <c r="C10" s="73">
        <f t="array" ref="C10:D11">MMULT(C4:C5,C7:D7)</f>
        <v>12</v>
      </c>
      <c r="D10" s="74">
        <v>14</v>
      </c>
      <c r="G10" s="71" t="s">
        <v>13</v>
      </c>
      <c r="H10" s="71" t="s">
        <v>12</v>
      </c>
      <c r="I10" s="73">
        <f t="array" ref="I10:J11">TRANSPOSE(C10:D11)</f>
        <v>12</v>
      </c>
      <c r="J10" s="74">
        <v>24</v>
      </c>
      <c r="M10" s="68">
        <f t="array" ref="M10:N11">MMULT(C4:C5,C7:D7)</f>
        <v>12</v>
      </c>
      <c r="N10" s="68">
        <v>14</v>
      </c>
      <c r="R10" s="68">
        <f t="array" ref="R10:S11">TRANSPOSE(M10:N11)</f>
        <v>12</v>
      </c>
      <c r="S10" s="68">
        <v>24</v>
      </c>
    </row>
    <row r="11" spans="1:19">
      <c r="A11" s="71"/>
      <c r="B11" s="71"/>
      <c r="C11" s="73">
        <v>24</v>
      </c>
      <c r="D11" s="74">
        <v>28</v>
      </c>
      <c r="G11" s="71"/>
      <c r="H11" s="71"/>
      <c r="I11" s="73">
        <v>14</v>
      </c>
      <c r="J11" s="74">
        <v>28</v>
      </c>
      <c r="M11" s="68">
        <v>24</v>
      </c>
      <c r="N11" s="68">
        <v>28</v>
      </c>
      <c r="R11" s="68">
        <v>14</v>
      </c>
      <c r="S11" s="68">
        <v>28</v>
      </c>
    </row>
    <row r="12" spans="1:19">
      <c r="A12" s="71"/>
      <c r="B12" s="71"/>
      <c r="C12" s="71"/>
      <c r="D12" s="71"/>
      <c r="G12" s="71"/>
      <c r="H12" s="71"/>
      <c r="I12" s="71"/>
      <c r="J12" s="71"/>
    </row>
    <row r="13" spans="1:19" ht="15.75">
      <c r="A13" s="71" t="s">
        <v>14</v>
      </c>
      <c r="B13" s="71" t="s">
        <v>15</v>
      </c>
      <c r="C13" s="72">
        <f t="array" ref="C13">MMULT(C7:D7,C4:C5)</f>
        <v>40</v>
      </c>
      <c r="D13" s="71"/>
      <c r="G13" s="71" t="s">
        <v>16</v>
      </c>
      <c r="H13" s="71" t="s">
        <v>15</v>
      </c>
      <c r="I13" s="72">
        <f>TRANSPOSE(C13)</f>
        <v>40</v>
      </c>
      <c r="J13" s="71"/>
    </row>
    <row r="14" spans="1:19">
      <c r="A14" s="77"/>
      <c r="B14" s="71"/>
      <c r="G14" s="71"/>
      <c r="H14" s="71"/>
    </row>
    <row r="15" spans="1:19">
      <c r="A15" s="77"/>
      <c r="B15" s="71"/>
      <c r="G15" s="71"/>
      <c r="H15" s="71"/>
    </row>
    <row r="16" spans="1:19">
      <c r="A16" s="78" t="s">
        <v>2</v>
      </c>
      <c r="B16" s="71" t="s">
        <v>3</v>
      </c>
      <c r="G16" s="70" t="s">
        <v>2</v>
      </c>
      <c r="H16" s="71" t="s">
        <v>3</v>
      </c>
    </row>
    <row r="17" spans="1:24" ht="15.75">
      <c r="A17" s="75" t="s">
        <v>17</v>
      </c>
      <c r="B17" s="75" t="s">
        <v>18</v>
      </c>
      <c r="C17" s="73">
        <v>-3</v>
      </c>
      <c r="D17" s="76">
        <v>2</v>
      </c>
      <c r="E17" s="74">
        <v>7</v>
      </c>
      <c r="F17" s="79"/>
      <c r="G17" s="71" t="s">
        <v>19</v>
      </c>
      <c r="H17" s="75" t="s">
        <v>18</v>
      </c>
      <c r="I17" s="80">
        <f t="array" ref="I17:K19">MINVERSE(C17:E19)</f>
        <v>-0.17547568710359404</v>
      </c>
      <c r="J17" s="81">
        <v>-1.4799154334038065E-2</v>
      </c>
      <c r="K17" s="82">
        <v>7.1881606765327732E-2</v>
      </c>
      <c r="M17" s="71" t="s">
        <v>20</v>
      </c>
      <c r="N17" s="83">
        <f t="array" ref="N17:P19">MMULT(A,invA)</f>
        <v>0.99999999999999978</v>
      </c>
      <c r="O17" s="84">
        <v>5.5511151231257827E-17</v>
      </c>
      <c r="P17" s="85">
        <v>-1.6653345369377348E-16</v>
      </c>
      <c r="R17" s="141">
        <f t="array" ref="R17:T19">MINVERSE(A)</f>
        <v>-0.17547568710359404</v>
      </c>
      <c r="S17" s="141">
        <v>-1.4799154334038065E-2</v>
      </c>
      <c r="T17" s="141">
        <v>7.1881606765327732E-2</v>
      </c>
      <c r="V17" s="84">
        <f t="array" ref="V17:X19">MMULT(C17:E19,R17:T19)</f>
        <v>0.99999999999999978</v>
      </c>
      <c r="W17" s="84">
        <v>5.5511151231257827E-17</v>
      </c>
      <c r="X17" s="84">
        <v>-1.6653345369377348E-16</v>
      </c>
    </row>
    <row r="18" spans="1:24">
      <c r="A18" s="71"/>
      <c r="B18" s="71"/>
      <c r="C18" s="73">
        <v>2</v>
      </c>
      <c r="D18" s="76">
        <v>20</v>
      </c>
      <c r="E18" s="74">
        <v>19</v>
      </c>
      <c r="F18" s="79"/>
      <c r="G18" s="71"/>
      <c r="H18" s="71"/>
      <c r="I18" s="80">
        <v>-6.4129668780831553E-2</v>
      </c>
      <c r="J18" s="81">
        <v>7.8928823114869609E-2</v>
      </c>
      <c r="K18" s="82">
        <v>-5.0035236081747696E-2</v>
      </c>
      <c r="M18" s="77"/>
      <c r="N18" s="83">
        <v>2.2204460492503131E-16</v>
      </c>
      <c r="O18" s="84">
        <v>0.99999999999999967</v>
      </c>
      <c r="P18" s="85">
        <v>2.2204460492503131E-16</v>
      </c>
      <c r="R18" s="141">
        <v>-6.4129668780831553E-2</v>
      </c>
      <c r="S18" s="141">
        <v>7.8928823114869609E-2</v>
      </c>
      <c r="T18" s="141">
        <v>-5.0035236081747696E-2</v>
      </c>
      <c r="V18" s="84">
        <v>2.2204460492503131E-16</v>
      </c>
      <c r="W18" s="84">
        <v>0.99999999999999967</v>
      </c>
      <c r="X18" s="84">
        <v>2.2204460492503131E-16</v>
      </c>
    </row>
    <row r="19" spans="1:24">
      <c r="A19" s="71"/>
      <c r="B19" s="71"/>
      <c r="C19" s="73">
        <v>7</v>
      </c>
      <c r="D19" s="76">
        <v>9</v>
      </c>
      <c r="E19" s="74">
        <v>21</v>
      </c>
      <c r="F19" s="79"/>
      <c r="G19" s="71"/>
      <c r="H19" s="71"/>
      <c r="I19" s="80">
        <v>8.5976039464411541E-2</v>
      </c>
      <c r="J19" s="81">
        <v>-2.8893587033121906E-2</v>
      </c>
      <c r="K19" s="82">
        <v>4.5102184637068346E-2</v>
      </c>
      <c r="M19" s="77"/>
      <c r="N19" s="83">
        <v>0</v>
      </c>
      <c r="O19" s="84">
        <v>0</v>
      </c>
      <c r="P19" s="85">
        <v>1</v>
      </c>
      <c r="R19" s="141">
        <v>8.5976039464411541E-2</v>
      </c>
      <c r="S19" s="141">
        <v>-2.8893587033121906E-2</v>
      </c>
      <c r="T19" s="141">
        <v>4.5102184637068346E-2</v>
      </c>
      <c r="V19" s="84">
        <v>0</v>
      </c>
      <c r="W19" s="84">
        <v>0</v>
      </c>
      <c r="X19" s="84">
        <v>1</v>
      </c>
    </row>
    <row r="20" spans="1:24">
      <c r="A20" s="71"/>
      <c r="B20" s="71"/>
      <c r="G20" s="71"/>
      <c r="H20" s="71"/>
    </row>
    <row r="21" spans="1:24" ht="15.75">
      <c r="A21" s="71" t="s">
        <v>21</v>
      </c>
      <c r="B21" s="71" t="s">
        <v>22</v>
      </c>
      <c r="C21" s="72">
        <v>20</v>
      </c>
      <c r="G21" s="75" t="s">
        <v>23</v>
      </c>
      <c r="H21" s="71" t="s">
        <v>22</v>
      </c>
      <c r="I21" s="118">
        <f t="array" ref="I21:I23">MMULT(I17:K19,C21:C23)</f>
        <v>-3.4355179704016905</v>
      </c>
      <c r="M21" s="84"/>
    </row>
    <row r="22" spans="1:24">
      <c r="A22" s="77"/>
      <c r="B22" s="71"/>
      <c r="C22" s="72">
        <v>-5</v>
      </c>
      <c r="G22" s="77"/>
      <c r="H22" s="71"/>
      <c r="I22" s="118">
        <v>-1.6772374911909791</v>
      </c>
      <c r="M22" s="84"/>
    </row>
    <row r="23" spans="1:24">
      <c r="A23" s="77"/>
      <c r="B23" s="71"/>
      <c r="C23" s="72">
        <v>0</v>
      </c>
      <c r="G23" s="77"/>
      <c r="H23" s="71"/>
      <c r="I23" s="118">
        <v>1.8639887244538405</v>
      </c>
      <c r="M23" s="84"/>
    </row>
    <row r="24" spans="1:24">
      <c r="A24" s="77"/>
      <c r="B24" s="71"/>
      <c r="G24" s="77"/>
      <c r="H24" s="71"/>
    </row>
    <row r="26" spans="1:24">
      <c r="B26"/>
      <c r="C26"/>
      <c r="D26"/>
    </row>
    <row r="27" spans="1:24">
      <c r="B27"/>
      <c r="C27"/>
      <c r="D27"/>
    </row>
    <row r="28" spans="1:24">
      <c r="B28"/>
      <c r="C28"/>
      <c r="D28"/>
      <c r="G28" s="77"/>
      <c r="H28" s="77"/>
    </row>
    <row r="29" spans="1:24">
      <c r="B29"/>
      <c r="C29"/>
      <c r="D29"/>
      <c r="G29"/>
      <c r="H29"/>
      <c r="I29"/>
    </row>
    <row r="30" spans="1:24">
      <c r="A30" s="77"/>
      <c r="B30"/>
      <c r="C30"/>
      <c r="D30"/>
      <c r="G30"/>
      <c r="H30"/>
      <c r="I30"/>
    </row>
    <row r="31" spans="1:24">
      <c r="A31" s="77"/>
      <c r="B31" s="71"/>
      <c r="G31" s="77"/>
      <c r="H31" s="77"/>
    </row>
    <row r="32" spans="1:24">
      <c r="A32" s="77"/>
      <c r="B32" s="71"/>
      <c r="G32" s="77"/>
      <c r="H32" s="77"/>
    </row>
    <row r="33" spans="1:8">
      <c r="A33" s="77"/>
      <c r="B33" s="71"/>
      <c r="G33" s="77"/>
      <c r="H33" s="77"/>
    </row>
    <row r="34" spans="1:8">
      <c r="B34" s="71"/>
    </row>
    <row r="35" spans="1:8">
      <c r="B35" s="71"/>
    </row>
    <row r="36" spans="1:8">
      <c r="B36" s="71"/>
    </row>
    <row r="37" spans="1:8">
      <c r="B37" s="71"/>
    </row>
    <row r="38" spans="1:8">
      <c r="B38" s="71"/>
    </row>
    <row r="39" spans="1:8">
      <c r="B39" s="71"/>
    </row>
    <row r="40" spans="1:8">
      <c r="B40" s="71"/>
    </row>
    <row r="41" spans="1:8">
      <c r="B41" s="71"/>
    </row>
    <row r="44" spans="1:8">
      <c r="A44" s="77"/>
      <c r="G44" s="77"/>
      <c r="H44" s="86"/>
    </row>
    <row r="45" spans="1:8">
      <c r="A45" s="77"/>
      <c r="G45" s="77"/>
      <c r="H45" s="77"/>
    </row>
    <row r="46" spans="1:8">
      <c r="A46" s="77"/>
      <c r="G46" s="77"/>
      <c r="H46" s="77"/>
    </row>
    <row r="47" spans="1:8">
      <c r="A47" s="77"/>
      <c r="G47" s="77"/>
      <c r="H47" s="77"/>
    </row>
    <row r="48" spans="1:8">
      <c r="A48" s="77"/>
      <c r="G48" s="77"/>
      <c r="H48" s="77"/>
    </row>
    <row r="49" spans="1:8">
      <c r="A49" s="77"/>
      <c r="G49" s="77"/>
      <c r="H49" s="77"/>
    </row>
    <row r="50" spans="1:8">
      <c r="A50" s="77"/>
      <c r="G50" s="77"/>
      <c r="H50" s="77"/>
    </row>
    <row r="51" spans="1:8">
      <c r="A51" s="77"/>
      <c r="G51" s="77"/>
      <c r="H51" s="77"/>
    </row>
    <row r="52" spans="1:8">
      <c r="A52" s="77"/>
      <c r="G52" s="77"/>
      <c r="H52" s="86"/>
    </row>
    <row r="53" spans="1:8">
      <c r="A53" s="77"/>
      <c r="G53" s="77"/>
    </row>
    <row r="54" spans="1:8">
      <c r="A54" s="77"/>
      <c r="G54" s="77"/>
    </row>
    <row r="55" spans="1:8">
      <c r="A55" s="77"/>
      <c r="G55" s="77"/>
    </row>
    <row r="56" spans="1:8">
      <c r="A56" s="77"/>
      <c r="G56" s="77"/>
    </row>
    <row r="57" spans="1:8">
      <c r="A57" s="77"/>
      <c r="G57" s="77"/>
    </row>
    <row r="58" spans="1:8">
      <c r="A58" s="77"/>
      <c r="G58" s="77"/>
    </row>
    <row r="59" spans="1:8">
      <c r="A59" s="77"/>
      <c r="G59" s="77"/>
    </row>
    <row r="60" spans="1:8">
      <c r="A60" s="77"/>
      <c r="G60" s="77"/>
    </row>
    <row r="61" spans="1:8">
      <c r="A61" s="77"/>
      <c r="G61" s="77"/>
    </row>
    <row r="62" spans="1:8">
      <c r="A62" s="77"/>
      <c r="G62" s="77"/>
    </row>
    <row r="63" spans="1:8">
      <c r="A63" s="77"/>
      <c r="G63" s="77"/>
    </row>
    <row r="64" spans="1:8">
      <c r="A64" s="77"/>
      <c r="G64" s="77"/>
    </row>
    <row r="65" spans="1:7">
      <c r="A65" s="77"/>
      <c r="G65" s="77"/>
    </row>
    <row r="66" spans="1:7">
      <c r="A66" s="77"/>
      <c r="G66" s="77"/>
    </row>
    <row r="67" spans="1:7">
      <c r="A67" s="77"/>
      <c r="G67" s="77"/>
    </row>
    <row r="68" spans="1:7">
      <c r="A68" s="77"/>
      <c r="G68" s="77"/>
    </row>
    <row r="69" spans="1:7">
      <c r="G69" s="77"/>
    </row>
    <row r="70" spans="1:7">
      <c r="G70" s="77"/>
    </row>
    <row r="71" spans="1:7">
      <c r="G71" s="77"/>
    </row>
    <row r="72" spans="1:7">
      <c r="G72" s="77"/>
    </row>
    <row r="73" spans="1:7">
      <c r="G73" s="77"/>
    </row>
    <row r="74" spans="1:7">
      <c r="G74" s="77"/>
    </row>
    <row r="75" spans="1:7">
      <c r="G75" s="77"/>
    </row>
    <row r="76" spans="1:7">
      <c r="G76" s="77"/>
    </row>
    <row r="77" spans="1:7">
      <c r="G77" s="77"/>
    </row>
    <row r="78" spans="1:7">
      <c r="G78" s="77"/>
    </row>
    <row r="79" spans="1:7">
      <c r="G79" s="77"/>
    </row>
    <row r="80" spans="1:7">
      <c r="G80" s="77"/>
    </row>
    <row r="81" spans="7:7">
      <c r="G81" s="77"/>
    </row>
    <row r="82" spans="7:7">
      <c r="G82" s="77"/>
    </row>
    <row r="83" spans="7:7">
      <c r="G83" s="77"/>
    </row>
    <row r="84" spans="7:7">
      <c r="G84" s="77"/>
    </row>
    <row r="85" spans="7:7">
      <c r="G85" s="77"/>
    </row>
    <row r="86" spans="7:7">
      <c r="G86" s="77"/>
    </row>
    <row r="87" spans="7:7">
      <c r="G87" s="77"/>
    </row>
    <row r="88" spans="7:7">
      <c r="G88" s="77"/>
    </row>
    <row r="89" spans="7:7">
      <c r="G89" s="77"/>
    </row>
    <row r="90" spans="7:7">
      <c r="G90" s="77"/>
    </row>
    <row r="91" spans="7:7">
      <c r="G91" s="77"/>
    </row>
    <row r="92" spans="7:7">
      <c r="G92" s="77"/>
    </row>
    <row r="93" spans="7:7">
      <c r="G93" s="77"/>
    </row>
    <row r="94" spans="7:7">
      <c r="G94" s="77"/>
    </row>
    <row r="95" spans="7:7">
      <c r="G95" s="77"/>
    </row>
    <row r="96" spans="7:7">
      <c r="G96" s="77"/>
    </row>
    <row r="97" spans="7:7">
      <c r="G97" s="77"/>
    </row>
    <row r="98" spans="7:7">
      <c r="G98" s="77"/>
    </row>
    <row r="99" spans="7:7">
      <c r="G99" s="77"/>
    </row>
    <row r="100" spans="7:7">
      <c r="G100" s="77"/>
    </row>
    <row r="101" spans="7:7">
      <c r="G101" s="77"/>
    </row>
    <row r="102" spans="7:7">
      <c r="G102" s="77"/>
    </row>
    <row r="103" spans="7:7">
      <c r="G103" s="77"/>
    </row>
    <row r="104" spans="7:7">
      <c r="G104" s="77"/>
    </row>
    <row r="105" spans="7:7">
      <c r="G105" s="77"/>
    </row>
    <row r="106" spans="7:7">
      <c r="G106" s="77"/>
    </row>
    <row r="107" spans="7:7">
      <c r="G107" s="77"/>
    </row>
    <row r="108" spans="7:7">
      <c r="G108" s="77"/>
    </row>
    <row r="109" spans="7:7">
      <c r="G109" s="77"/>
    </row>
    <row r="110" spans="7:7">
      <c r="G110" s="77"/>
    </row>
    <row r="111" spans="7:7">
      <c r="G111" s="77"/>
    </row>
    <row r="112" spans="7:7">
      <c r="G112" s="77"/>
    </row>
    <row r="113" spans="7:7">
      <c r="G113" s="77"/>
    </row>
    <row r="114" spans="7:7">
      <c r="G114" s="77"/>
    </row>
    <row r="115" spans="7:7">
      <c r="G115" s="77"/>
    </row>
    <row r="116" spans="7:7">
      <c r="G116" s="77"/>
    </row>
    <row r="117" spans="7:7">
      <c r="G117" s="77"/>
    </row>
    <row r="118" spans="7:7">
      <c r="G118" s="77"/>
    </row>
    <row r="119" spans="7:7">
      <c r="G119" s="77"/>
    </row>
    <row r="120" spans="7:7">
      <c r="G120" s="77"/>
    </row>
    <row r="121" spans="7:7">
      <c r="G121" s="77"/>
    </row>
    <row r="122" spans="7:7">
      <c r="G122" s="77"/>
    </row>
    <row r="123" spans="7:7">
      <c r="G123" s="77"/>
    </row>
    <row r="124" spans="7:7">
      <c r="G124" s="77"/>
    </row>
    <row r="125" spans="7:7">
      <c r="G125" s="77"/>
    </row>
    <row r="126" spans="7:7">
      <c r="G126" s="77"/>
    </row>
    <row r="127" spans="7:7">
      <c r="G127" s="77"/>
    </row>
    <row r="128" spans="7:7">
      <c r="G128" s="77"/>
    </row>
    <row r="129" spans="7:7">
      <c r="G129" s="77"/>
    </row>
    <row r="130" spans="7:7">
      <c r="G130" s="77"/>
    </row>
    <row r="131" spans="7:7">
      <c r="G131" s="77"/>
    </row>
    <row r="132" spans="7:7">
      <c r="G132" s="77"/>
    </row>
    <row r="133" spans="7:7">
      <c r="G133" s="77"/>
    </row>
    <row r="134" spans="7:7">
      <c r="G134" s="77"/>
    </row>
    <row r="135" spans="7:7">
      <c r="G135" s="77"/>
    </row>
    <row r="136" spans="7:7">
      <c r="G136" s="77"/>
    </row>
    <row r="137" spans="7:7">
      <c r="G137" s="77"/>
    </row>
    <row r="138" spans="7:7">
      <c r="G138" s="77"/>
    </row>
    <row r="139" spans="7:7">
      <c r="G139" s="77"/>
    </row>
    <row r="140" spans="7:7">
      <c r="G140" s="77"/>
    </row>
    <row r="141" spans="7:7">
      <c r="G141" s="77"/>
    </row>
    <row r="142" spans="7:7">
      <c r="G142" s="77"/>
    </row>
    <row r="143" spans="7:7">
      <c r="G143" s="77"/>
    </row>
    <row r="144" spans="7:7">
      <c r="G144" s="77"/>
    </row>
    <row r="145" spans="7:7">
      <c r="G145" s="77"/>
    </row>
    <row r="146" spans="7:7">
      <c r="G146" s="77"/>
    </row>
    <row r="147" spans="7:7">
      <c r="G147" s="77"/>
    </row>
    <row r="148" spans="7:7">
      <c r="G148" s="77"/>
    </row>
    <row r="149" spans="7:7">
      <c r="G149" s="77"/>
    </row>
    <row r="150" spans="7:7">
      <c r="G150" s="77"/>
    </row>
    <row r="151" spans="7:7">
      <c r="G151" s="77"/>
    </row>
    <row r="152" spans="7:7">
      <c r="G152" s="77"/>
    </row>
    <row r="153" spans="7:7">
      <c r="G153" s="77"/>
    </row>
    <row r="154" spans="7:7">
      <c r="G154" s="77"/>
    </row>
    <row r="155" spans="7:7">
      <c r="G155" s="77"/>
    </row>
    <row r="156" spans="7:7">
      <c r="G156" s="77"/>
    </row>
  </sheetData>
  <phoneticPr fontId="11" type="noConversion"/>
  <printOptions headings="1"/>
  <pageMargins left="0.74803149606299213" right="0.74803149606299213" top="0.98425196850393704" bottom="0.98425196850393704" header="0.51181102362204722" footer="0.51181102362204722"/>
  <pageSetup paperSize="9" scale="82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2"/>
  <sheetViews>
    <sheetView showGridLines="0" zoomScale="130" zoomScaleNormal="130" workbookViewId="0">
      <selection activeCell="I1" sqref="I1"/>
    </sheetView>
  </sheetViews>
  <sheetFormatPr defaultRowHeight="12.75"/>
  <sheetData>
    <row r="1" spans="1:9">
      <c r="A1" s="42" t="s">
        <v>126</v>
      </c>
    </row>
    <row r="2" spans="1:9">
      <c r="A2" s="6" t="s">
        <v>24</v>
      </c>
    </row>
    <row r="3" spans="1:9">
      <c r="A3" s="1"/>
    </row>
    <row r="4" spans="1:9">
      <c r="B4" t="s">
        <v>25</v>
      </c>
      <c r="C4" s="9">
        <v>1.1000000000000001</v>
      </c>
      <c r="D4" s="9">
        <v>1.2</v>
      </c>
      <c r="E4" s="9">
        <v>1.3</v>
      </c>
    </row>
    <row r="5" spans="1:9">
      <c r="C5" s="9">
        <v>1.6</v>
      </c>
      <c r="D5" s="9">
        <v>1.5</v>
      </c>
      <c r="E5" s="9">
        <v>1.4</v>
      </c>
    </row>
    <row r="6" spans="1:9">
      <c r="C6" s="9">
        <v>1.8</v>
      </c>
      <c r="D6" s="9">
        <v>1.8</v>
      </c>
      <c r="E6" s="9">
        <v>1.9</v>
      </c>
      <c r="G6" s="1" t="s">
        <v>26</v>
      </c>
    </row>
    <row r="8" spans="1:9" ht="13.5" thickBot="1"/>
    <row r="9" spans="1:9">
      <c r="B9" t="s">
        <v>27</v>
      </c>
      <c r="C9" s="13"/>
      <c r="D9" s="14"/>
      <c r="E9" s="15"/>
      <c r="G9" s="4">
        <v>-12.222222222222252</v>
      </c>
      <c r="H9" s="4">
        <v>-2.222222222222237</v>
      </c>
      <c r="I9" s="4">
        <v>10</v>
      </c>
    </row>
    <row r="10" spans="1:9">
      <c r="C10" s="16"/>
      <c r="D10" s="17"/>
      <c r="E10" s="18"/>
      <c r="G10" s="4">
        <v>19.259259259259313</v>
      </c>
      <c r="H10" s="4">
        <v>9.2592592592592826</v>
      </c>
      <c r="I10" s="4">
        <v>-20.000000000000057</v>
      </c>
    </row>
    <row r="11" spans="1:9" ht="13.5" thickBot="1">
      <c r="C11" s="19"/>
      <c r="D11" s="20"/>
      <c r="E11" s="21"/>
      <c r="G11" s="4">
        <v>-6.6666666666666901</v>
      </c>
      <c r="H11" s="4">
        <v>-6.6666666666666758</v>
      </c>
      <c r="I11" s="4">
        <v>10</v>
      </c>
    </row>
    <row r="12" spans="1:9" ht="13.5" thickBot="1"/>
    <row r="13" spans="1:9">
      <c r="B13" t="s">
        <v>28</v>
      </c>
      <c r="C13" s="13"/>
      <c r="D13" s="14"/>
      <c r="E13" s="15"/>
      <c r="G13" s="4">
        <v>1.1000000000000001</v>
      </c>
      <c r="H13" s="4">
        <v>1.6</v>
      </c>
      <c r="I13" s="4">
        <v>1.8</v>
      </c>
    </row>
    <row r="14" spans="1:9">
      <c r="C14" s="16"/>
      <c r="D14" s="17"/>
      <c r="E14" s="18"/>
      <c r="G14" s="4">
        <v>1.2</v>
      </c>
      <c r="H14" s="4">
        <v>1.5</v>
      </c>
      <c r="I14" s="4">
        <v>1.8</v>
      </c>
    </row>
    <row r="15" spans="1:9" ht="13.5" thickBot="1">
      <c r="C15" s="19"/>
      <c r="D15" s="20"/>
      <c r="E15" s="21"/>
      <c r="G15" s="4">
        <v>1.3</v>
      </c>
      <c r="H15" s="4">
        <v>1.4</v>
      </c>
      <c r="I15" s="4">
        <v>1.9</v>
      </c>
    </row>
    <row r="17" spans="1:9">
      <c r="A17" s="6" t="s">
        <v>29</v>
      </c>
    </row>
    <row r="18" spans="1:9">
      <c r="A18" s="1"/>
    </row>
    <row r="19" spans="1:9">
      <c r="B19" t="s">
        <v>25</v>
      </c>
      <c r="C19" s="9">
        <v>1.1000000000000001</v>
      </c>
      <c r="D19" s="9">
        <v>1.2</v>
      </c>
      <c r="E19" s="9">
        <v>1.3</v>
      </c>
      <c r="G19" t="s">
        <v>30</v>
      </c>
      <c r="H19" s="9">
        <v>0.8</v>
      </c>
      <c r="I19" s="9">
        <v>1.4</v>
      </c>
    </row>
    <row r="20" spans="1:9">
      <c r="C20" s="9">
        <v>1.6</v>
      </c>
      <c r="D20" s="9">
        <v>1.5</v>
      </c>
      <c r="E20" s="9">
        <v>1.4</v>
      </c>
      <c r="H20" s="9">
        <v>1.1000000000000001</v>
      </c>
      <c r="I20" s="9">
        <v>2</v>
      </c>
    </row>
    <row r="21" spans="1:9">
      <c r="C21" s="9">
        <v>1.8</v>
      </c>
      <c r="D21" s="9">
        <v>1.8</v>
      </c>
      <c r="E21" s="9">
        <v>1.9</v>
      </c>
      <c r="H21" s="9">
        <v>0.5</v>
      </c>
      <c r="I21" s="9">
        <v>2.7</v>
      </c>
    </row>
    <row r="23" spans="1:9" ht="13.5" thickBot="1">
      <c r="B23" t="s">
        <v>31</v>
      </c>
      <c r="C23" t="s">
        <v>32</v>
      </c>
    </row>
    <row r="24" spans="1:9">
      <c r="D24" s="13"/>
      <c r="E24" s="15"/>
      <c r="H24" s="4">
        <v>2.85</v>
      </c>
      <c r="I24" s="4">
        <v>7.45</v>
      </c>
    </row>
    <row r="25" spans="1:9">
      <c r="D25" s="16"/>
      <c r="E25" s="18"/>
      <c r="H25" s="4">
        <v>3.63</v>
      </c>
      <c r="I25" s="4">
        <v>9.02</v>
      </c>
    </row>
    <row r="26" spans="1:9" ht="13.5" thickBot="1">
      <c r="D26" s="19"/>
      <c r="E26" s="21"/>
      <c r="H26" s="4">
        <v>4.37</v>
      </c>
      <c r="I26" s="4">
        <v>11.25</v>
      </c>
    </row>
    <row r="29" spans="1:9">
      <c r="B29" t="s">
        <v>31</v>
      </c>
      <c r="C29" s="2" t="s">
        <v>33</v>
      </c>
    </row>
    <row r="30" spans="1:9" ht="13.5" thickBot="1">
      <c r="C30" s="2"/>
    </row>
    <row r="31" spans="1:9">
      <c r="C31" s="13"/>
      <c r="D31" s="14"/>
      <c r="E31" s="15"/>
      <c r="G31" s="4">
        <v>3.54</v>
      </c>
      <c r="H31" s="4">
        <v>3.51</v>
      </c>
      <c r="I31" s="4">
        <v>3.53</v>
      </c>
    </row>
    <row r="32" spans="1:9" ht="13.5" thickBot="1">
      <c r="C32" s="19"/>
      <c r="D32" s="20"/>
      <c r="E32" s="21"/>
      <c r="G32" s="4">
        <v>9.6</v>
      </c>
      <c r="H32" s="4">
        <v>9.5399999999999991</v>
      </c>
      <c r="I32" s="4">
        <v>9.75</v>
      </c>
    </row>
  </sheetData>
  <phoneticPr fontId="1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1"/>
  <sheetViews>
    <sheetView showGridLines="0" topLeftCell="B1" zoomScale="145" workbookViewId="0">
      <selection activeCell="J19" sqref="J19"/>
    </sheetView>
  </sheetViews>
  <sheetFormatPr defaultRowHeight="12.75"/>
  <cols>
    <col min="3" max="3" width="4.83203125" customWidth="1"/>
    <col min="4" max="4" width="10.5" bestFit="1" customWidth="1"/>
    <col min="5" max="5" width="10.5" customWidth="1"/>
    <col min="6" max="6" width="4.83203125" customWidth="1"/>
    <col min="7" max="9" width="8.83203125" customWidth="1"/>
    <col min="10" max="10" width="9.83203125" customWidth="1"/>
    <col min="19" max="19" width="10.5" bestFit="1" customWidth="1"/>
  </cols>
  <sheetData>
    <row r="1" spans="1:10">
      <c r="A1" s="42" t="s">
        <v>126</v>
      </c>
    </row>
    <row r="2" spans="1:10">
      <c r="A2" s="34" t="s">
        <v>34</v>
      </c>
    </row>
    <row r="3" spans="1:10">
      <c r="A3" s="34" t="s">
        <v>35</v>
      </c>
      <c r="D3" s="88" t="s">
        <v>36</v>
      </c>
      <c r="E3" s="88" t="s">
        <v>37</v>
      </c>
      <c r="G3" s="34" t="s">
        <v>38</v>
      </c>
    </row>
    <row r="4" spans="1:10" ht="13.5" thickBot="1">
      <c r="A4" s="1"/>
      <c r="B4" s="24" t="s">
        <v>39</v>
      </c>
      <c r="D4" s="120">
        <f>AVERAGE(D10:D71)</f>
        <v>1.7796774193548397E-2</v>
      </c>
      <c r="E4" s="120">
        <f>AVERAGE(E10:E71)</f>
        <v>1.4497471114133683E-2</v>
      </c>
      <c r="G4" s="90" t="s">
        <v>40</v>
      </c>
      <c r="H4" s="90" t="s">
        <v>41</v>
      </c>
      <c r="I4" s="90" t="s">
        <v>42</v>
      </c>
      <c r="J4" s="90" t="s">
        <v>43</v>
      </c>
    </row>
    <row r="5" spans="1:10">
      <c r="B5" s="24" t="s">
        <v>44</v>
      </c>
      <c r="D5" s="120">
        <f>_xlfn.STDEV.S(D10:D71)</f>
        <v>8.089573124513974E-2</v>
      </c>
      <c r="E5" s="120">
        <f>_xlfn.STDEV.S(E10:E71)</f>
        <v>8.0182845689718812E-2</v>
      </c>
      <c r="G5" s="4">
        <v>-0.16</v>
      </c>
      <c r="H5" s="122">
        <f t="array" ref="H5:H14">FREQUENCY(E10:E71,G5:G14)</f>
        <v>0</v>
      </c>
      <c r="I5" s="125">
        <f>H5/$H$17</f>
        <v>0</v>
      </c>
      <c r="J5" s="125">
        <f>I5</f>
        <v>0</v>
      </c>
    </row>
    <row r="6" spans="1:10">
      <c r="B6" s="24" t="s">
        <v>45</v>
      </c>
      <c r="D6" s="120">
        <f>MAX(D10:D71)</f>
        <v>0.21229999999999999</v>
      </c>
      <c r="E6" s="120">
        <f>MAX(E10:E71)</f>
        <v>0.19251938177040057</v>
      </c>
      <c r="G6" s="4">
        <v>-0.12</v>
      </c>
      <c r="H6" s="123">
        <v>6</v>
      </c>
      <c r="I6" s="125">
        <f t="shared" ref="I6:I14" si="0">H6/$H$17</f>
        <v>9.6774193548387094E-2</v>
      </c>
      <c r="J6" s="126">
        <f>J5+I6</f>
        <v>9.6774193548387094E-2</v>
      </c>
    </row>
    <row r="7" spans="1:10">
      <c r="B7" s="24" t="s">
        <v>46</v>
      </c>
      <c r="D7" s="120">
        <f>MIN(D10:D71)</f>
        <v>-0.1421</v>
      </c>
      <c r="E7" s="120">
        <f>MIN(E10:E71)</f>
        <v>-0.1532677364032175</v>
      </c>
      <c r="G7" s="4">
        <v>-0.08</v>
      </c>
      <c r="H7" s="123">
        <v>4</v>
      </c>
      <c r="I7" s="125">
        <f t="shared" si="0"/>
        <v>6.4516129032258063E-2</v>
      </c>
      <c r="J7" s="126">
        <f t="shared" ref="J7:J14" si="1">J6+I7</f>
        <v>0.16129032258064516</v>
      </c>
    </row>
    <row r="8" spans="1:10">
      <c r="G8" s="4">
        <v>-0.04</v>
      </c>
      <c r="H8" s="123">
        <v>7</v>
      </c>
      <c r="I8" s="125">
        <f t="shared" si="0"/>
        <v>0.11290322580645161</v>
      </c>
      <c r="J8" s="126">
        <f t="shared" si="1"/>
        <v>0.27419354838709675</v>
      </c>
    </row>
    <row r="9" spans="1:10">
      <c r="A9" s="89" t="s">
        <v>47</v>
      </c>
      <c r="D9" t="str">
        <f>D3</f>
        <v>Returns</v>
      </c>
      <c r="E9" t="str">
        <f>E3</f>
        <v>Ln Returns</v>
      </c>
      <c r="G9" s="4">
        <v>0</v>
      </c>
      <c r="H9" s="123">
        <v>10</v>
      </c>
      <c r="I9" s="125">
        <f t="shared" si="0"/>
        <v>0.16129032258064516</v>
      </c>
      <c r="J9" s="126">
        <f t="shared" si="1"/>
        <v>0.43548387096774188</v>
      </c>
    </row>
    <row r="10" spans="1:10">
      <c r="A10" s="87">
        <v>33662</v>
      </c>
      <c r="B10" s="7">
        <v>1</v>
      </c>
      <c r="C10" s="7"/>
      <c r="D10" s="119">
        <v>7.0599999999999996E-2</v>
      </c>
      <c r="E10" s="119">
        <f>LN(1+D10)</f>
        <v>6.8219238977143853E-2</v>
      </c>
      <c r="G10" s="4">
        <v>0.04</v>
      </c>
      <c r="H10" s="123">
        <v>5</v>
      </c>
      <c r="I10" s="125">
        <f t="shared" si="0"/>
        <v>8.0645161290322578E-2</v>
      </c>
      <c r="J10" s="126">
        <f t="shared" si="1"/>
        <v>0.5161290322580645</v>
      </c>
    </row>
    <row r="11" spans="1:10">
      <c r="A11" s="87">
        <v>33694</v>
      </c>
      <c r="B11" s="7">
        <v>2</v>
      </c>
      <c r="C11" s="7"/>
      <c r="D11" s="119">
        <v>-0.1154</v>
      </c>
      <c r="E11" s="119">
        <f t="shared" ref="E11:E71" si="2">LN(1+D11)</f>
        <v>-0.12261971354791061</v>
      </c>
      <c r="G11" s="4">
        <v>0.08</v>
      </c>
      <c r="H11" s="123">
        <v>16</v>
      </c>
      <c r="I11" s="125">
        <f t="shared" si="0"/>
        <v>0.25806451612903225</v>
      </c>
      <c r="J11" s="126">
        <f t="shared" si="1"/>
        <v>0.77419354838709675</v>
      </c>
    </row>
    <row r="12" spans="1:10">
      <c r="A12" s="87">
        <v>33724</v>
      </c>
      <c r="B12" s="7">
        <v>3</v>
      </c>
      <c r="C12" s="7"/>
      <c r="D12" s="119">
        <v>7.7700000000000005E-2</v>
      </c>
      <c r="E12" s="119">
        <f t="shared" si="2"/>
        <v>7.4829140620649076E-2</v>
      </c>
      <c r="G12" s="4">
        <v>0.12</v>
      </c>
      <c r="H12" s="123">
        <v>9</v>
      </c>
      <c r="I12" s="125">
        <f t="shared" si="0"/>
        <v>0.14516129032258066</v>
      </c>
      <c r="J12" s="126">
        <f t="shared" si="1"/>
        <v>0.91935483870967738</v>
      </c>
    </row>
    <row r="13" spans="1:10">
      <c r="A13" s="87">
        <v>33753</v>
      </c>
      <c r="B13" s="7">
        <v>4</v>
      </c>
      <c r="C13" s="7"/>
      <c r="D13" s="119">
        <v>0.1066</v>
      </c>
      <c r="E13" s="119">
        <f t="shared" si="2"/>
        <v>0.10129225148187235</v>
      </c>
      <c r="G13" s="4">
        <v>0.16</v>
      </c>
      <c r="H13" s="123">
        <v>4</v>
      </c>
      <c r="I13" s="125">
        <f t="shared" si="0"/>
        <v>6.4516129032258063E-2</v>
      </c>
      <c r="J13" s="126">
        <f t="shared" si="1"/>
        <v>0.9838709677419355</v>
      </c>
    </row>
    <row r="14" spans="1:10">
      <c r="A14" s="87">
        <v>33785</v>
      </c>
      <c r="B14" s="7">
        <v>5</v>
      </c>
      <c r="C14" s="7"/>
      <c r="D14" s="119">
        <v>-0.1172</v>
      </c>
      <c r="E14" s="119">
        <f t="shared" si="2"/>
        <v>-0.12465660459955569</v>
      </c>
      <c r="G14" s="4">
        <v>0.2</v>
      </c>
      <c r="H14" s="123">
        <v>1</v>
      </c>
      <c r="I14" s="125">
        <f t="shared" si="0"/>
        <v>1.6129032258064516E-2</v>
      </c>
      <c r="J14" s="126">
        <f t="shared" si="1"/>
        <v>1</v>
      </c>
    </row>
    <row r="15" spans="1:10" ht="13.5" thickBot="1">
      <c r="A15" s="87">
        <v>33816</v>
      </c>
      <c r="B15" s="7">
        <v>6</v>
      </c>
      <c r="C15" s="7"/>
      <c r="D15" s="119">
        <v>-8.2600000000000007E-2</v>
      </c>
      <c r="E15" s="119">
        <f t="shared" si="2"/>
        <v>-8.6211696819065445E-2</v>
      </c>
      <c r="G15" s="4"/>
      <c r="H15" s="124"/>
      <c r="I15" s="127"/>
      <c r="J15" s="127"/>
    </row>
    <row r="16" spans="1:10" ht="13.5" thickBot="1">
      <c r="A16" s="87">
        <v>33847</v>
      </c>
      <c r="B16" s="7">
        <v>7</v>
      </c>
      <c r="C16" s="7"/>
      <c r="D16" s="119">
        <v>-2.8899999999999999E-2</v>
      </c>
      <c r="E16" s="119">
        <f t="shared" si="2"/>
        <v>-2.9325829381828733E-2</v>
      </c>
      <c r="H16" s="12"/>
      <c r="I16" s="8"/>
      <c r="J16" s="8"/>
    </row>
    <row r="17" spans="1:9" ht="13.5" thickBot="1">
      <c r="A17" s="87">
        <v>33877</v>
      </c>
      <c r="B17" s="7">
        <v>8</v>
      </c>
      <c r="C17" s="7"/>
      <c r="D17" s="119">
        <v>9.9299999999999999E-2</v>
      </c>
      <c r="E17" s="119">
        <f t="shared" si="2"/>
        <v>9.4673613602680992E-2</v>
      </c>
      <c r="G17" s="90" t="s">
        <v>48</v>
      </c>
      <c r="H17" s="3">
        <f>SUM(H5:H16)</f>
        <v>62</v>
      </c>
      <c r="I17" s="8"/>
    </row>
    <row r="18" spans="1:9">
      <c r="A18" s="87">
        <v>33907</v>
      </c>
      <c r="B18" s="7">
        <v>9</v>
      </c>
      <c r="C18" s="7"/>
      <c r="D18" s="119">
        <v>0.1265</v>
      </c>
      <c r="E18" s="119">
        <f t="shared" si="2"/>
        <v>0.11911548089016212</v>
      </c>
    </row>
    <row r="19" spans="1:9">
      <c r="A19" s="87">
        <v>33938</v>
      </c>
      <c r="B19" s="7">
        <v>10</v>
      </c>
      <c r="C19" s="7"/>
      <c r="D19" s="119">
        <v>7.7499999999999999E-2</v>
      </c>
      <c r="E19" s="119">
        <f t="shared" si="2"/>
        <v>7.4643542995765713E-2</v>
      </c>
      <c r="G19" s="34" t="s">
        <v>49</v>
      </c>
      <c r="H19" s="91"/>
      <c r="I19" s="91"/>
    </row>
    <row r="20" spans="1:9">
      <c r="A20" s="87">
        <v>33969</v>
      </c>
      <c r="B20" s="7">
        <v>11</v>
      </c>
      <c r="C20" s="7"/>
      <c r="D20" s="119">
        <v>5.96E-2</v>
      </c>
      <c r="E20" s="119">
        <f t="shared" si="2"/>
        <v>5.7891478415777679E-2</v>
      </c>
      <c r="G20" s="90" t="s">
        <v>50</v>
      </c>
      <c r="H20" s="90" t="s">
        <v>51</v>
      </c>
      <c r="I20" s="90" t="s">
        <v>52</v>
      </c>
    </row>
    <row r="21" spans="1:9">
      <c r="A21" s="87">
        <v>33998</v>
      </c>
      <c r="B21" s="7">
        <v>12</v>
      </c>
      <c r="C21" s="7"/>
      <c r="D21" s="119">
        <v>-0.1171</v>
      </c>
      <c r="E21" s="119">
        <f t="shared" si="2"/>
        <v>-0.12454333507460025</v>
      </c>
      <c r="G21">
        <v>0</v>
      </c>
      <c r="H21" s="121">
        <f>_xlfn.QUARTILE.INC(E10:E71,G21:G25)</f>
        <v>-0.1532677364032175</v>
      </c>
      <c r="I21" s="8">
        <v>0</v>
      </c>
    </row>
    <row r="22" spans="1:9">
      <c r="A22" s="87">
        <v>34026</v>
      </c>
      <c r="B22" s="7">
        <v>13</v>
      </c>
      <c r="C22" s="7"/>
      <c r="D22" s="119">
        <v>4.4999999999999998E-2</v>
      </c>
      <c r="E22" s="119">
        <f t="shared" si="2"/>
        <v>4.401688541677426E-2</v>
      </c>
      <c r="G22">
        <v>1</v>
      </c>
      <c r="H22" s="121">
        <f>_xlfn.QUARTILE.INC(E11:E72,G22:G26)</f>
        <v>-4.3534002023728369E-2</v>
      </c>
      <c r="I22" s="8">
        <v>0.25</v>
      </c>
    </row>
    <row r="23" spans="1:9">
      <c r="A23" s="87">
        <v>34059</v>
      </c>
      <c r="B23" s="7">
        <v>14</v>
      </c>
      <c r="C23" s="7"/>
      <c r="D23" s="119">
        <v>-3.0499999999999999E-2</v>
      </c>
      <c r="E23" s="119">
        <f t="shared" si="2"/>
        <v>-3.0974804299430527E-2</v>
      </c>
      <c r="G23">
        <v>2</v>
      </c>
      <c r="H23" s="121">
        <f>_xlfn.QUARTILE.INC(E12:E73,G23:G27)</f>
        <v>2.844053880401657E-2</v>
      </c>
      <c r="I23" s="8">
        <v>0.5</v>
      </c>
    </row>
    <row r="24" spans="1:9">
      <c r="A24" s="87">
        <v>34089</v>
      </c>
      <c r="B24" s="7">
        <v>15</v>
      </c>
      <c r="C24" s="7"/>
      <c r="D24" s="119">
        <v>-1.2999999999999999E-2</v>
      </c>
      <c r="E24" s="119">
        <f t="shared" si="2"/>
        <v>-1.3085239548655481E-2</v>
      </c>
      <c r="G24">
        <v>3</v>
      </c>
      <c r="H24" s="121">
        <f>_xlfn.QUARTILE.INC(E13:E74,G24:G28)</f>
        <v>7.5617072578739175E-2</v>
      </c>
      <c r="I24" s="8">
        <v>0.75</v>
      </c>
    </row>
    <row r="25" spans="1:9">
      <c r="A25" s="87">
        <v>34120</v>
      </c>
      <c r="B25" s="7">
        <v>16</v>
      </c>
      <c r="C25" s="7"/>
      <c r="D25" s="119">
        <v>0.13789999999999999</v>
      </c>
      <c r="E25" s="119">
        <f t="shared" si="2"/>
        <v>0.12918445838082582</v>
      </c>
      <c r="G25">
        <v>4</v>
      </c>
      <c r="H25" s="121">
        <f>_xlfn.QUARTILE.INC(E14:E75,G25:G29)</f>
        <v>0.19251938177040057</v>
      </c>
      <c r="I25" s="8">
        <v>1</v>
      </c>
    </row>
    <row r="26" spans="1:9">
      <c r="A26" s="87">
        <v>34150</v>
      </c>
      <c r="B26" s="7">
        <v>17</v>
      </c>
      <c r="C26" s="7"/>
      <c r="D26" s="119">
        <v>5.1299999999999998E-2</v>
      </c>
      <c r="E26" s="119">
        <f t="shared" si="2"/>
        <v>5.0027493599648067E-2</v>
      </c>
    </row>
    <row r="27" spans="1:9">
      <c r="A27" s="87">
        <v>34180</v>
      </c>
      <c r="B27" s="7">
        <v>18</v>
      </c>
      <c r="C27" s="7"/>
      <c r="D27" s="119">
        <v>4.4400000000000002E-2</v>
      </c>
      <c r="E27" s="119">
        <f t="shared" si="2"/>
        <v>4.3442557842836724E-2</v>
      </c>
    </row>
    <row r="28" spans="1:9">
      <c r="A28" s="87">
        <v>34212</v>
      </c>
      <c r="B28" s="7">
        <v>19</v>
      </c>
      <c r="C28" s="7"/>
      <c r="D28" s="119">
        <v>0.21229999999999999</v>
      </c>
      <c r="E28" s="119">
        <f t="shared" si="2"/>
        <v>0.19251938177040057</v>
      </c>
    </row>
    <row r="29" spans="1:9">
      <c r="A29" s="87">
        <v>34242</v>
      </c>
      <c r="B29" s="7">
        <v>20</v>
      </c>
      <c r="C29" s="7"/>
      <c r="D29" s="119">
        <v>-0.1191</v>
      </c>
      <c r="E29" s="119">
        <f t="shared" si="2"/>
        <v>-0.12681116686638705</v>
      </c>
    </row>
    <row r="30" spans="1:9">
      <c r="A30" s="87">
        <v>34271</v>
      </c>
      <c r="B30" s="7">
        <v>21</v>
      </c>
      <c r="C30" s="7"/>
      <c r="D30" s="119">
        <v>9.9400000000000002E-2</v>
      </c>
      <c r="E30" s="119">
        <f t="shared" si="2"/>
        <v>9.4764576444422877E-2</v>
      </c>
    </row>
    <row r="31" spans="1:9">
      <c r="A31" s="87">
        <v>34303</v>
      </c>
      <c r="B31" s="7">
        <v>22</v>
      </c>
      <c r="C31" s="7"/>
      <c r="D31" s="119">
        <v>-4.3400000000000001E-2</v>
      </c>
      <c r="E31" s="119">
        <f t="shared" si="2"/>
        <v>-4.4369947735940531E-2</v>
      </c>
    </row>
    <row r="32" spans="1:9">
      <c r="A32" s="87">
        <v>34334</v>
      </c>
      <c r="B32" s="7">
        <v>23</v>
      </c>
      <c r="C32" s="7"/>
      <c r="D32" s="119">
        <v>0.1229</v>
      </c>
      <c r="E32" s="119">
        <f t="shared" si="2"/>
        <v>0.11591462459635593</v>
      </c>
    </row>
    <row r="33" spans="1:5">
      <c r="A33" s="87">
        <v>34365</v>
      </c>
      <c r="B33" s="7">
        <v>24</v>
      </c>
      <c r="C33" s="7"/>
      <c r="D33" s="119">
        <v>-1.43E-2</v>
      </c>
      <c r="E33" s="119">
        <f t="shared" si="2"/>
        <v>-1.4403230310743743E-2</v>
      </c>
    </row>
    <row r="34" spans="1:5">
      <c r="A34" s="87">
        <v>34393</v>
      </c>
      <c r="B34" s="7">
        <v>25</v>
      </c>
      <c r="C34" s="7"/>
      <c r="D34" s="119">
        <v>2.7300000000000001E-2</v>
      </c>
      <c r="E34" s="119">
        <f t="shared" si="2"/>
        <v>2.6934001240081041E-2</v>
      </c>
    </row>
    <row r="35" spans="1:5">
      <c r="A35" s="87">
        <v>34424</v>
      </c>
      <c r="B35" s="7">
        <v>26</v>
      </c>
      <c r="C35" s="7"/>
      <c r="D35" s="119">
        <v>-0.1421</v>
      </c>
      <c r="E35" s="119">
        <f t="shared" si="2"/>
        <v>-0.1532677364032175</v>
      </c>
    </row>
    <row r="36" spans="1:5">
      <c r="A36" s="87">
        <v>34453</v>
      </c>
      <c r="B36" s="7">
        <v>27</v>
      </c>
      <c r="C36" s="7"/>
      <c r="D36" s="119">
        <v>5.4199999999999998E-2</v>
      </c>
      <c r="E36" s="119">
        <f t="shared" si="2"/>
        <v>5.2782185438969481E-2</v>
      </c>
    </row>
    <row r="37" spans="1:5">
      <c r="A37" s="87">
        <v>34485</v>
      </c>
      <c r="B37" s="7">
        <v>28</v>
      </c>
      <c r="C37" s="7"/>
      <c r="D37" s="119">
        <v>-2.3900000000000001E-2</v>
      </c>
      <c r="E37" s="119">
        <f t="shared" si="2"/>
        <v>-2.4190238801217671E-2</v>
      </c>
    </row>
    <row r="38" spans="1:5">
      <c r="A38" s="87">
        <v>34515</v>
      </c>
      <c r="B38" s="7">
        <v>29</v>
      </c>
      <c r="C38" s="7"/>
      <c r="D38" s="119">
        <v>-7.7200000000000005E-2</v>
      </c>
      <c r="E38" s="119">
        <f t="shared" si="2"/>
        <v>-8.0342752682538501E-2</v>
      </c>
    </row>
    <row r="39" spans="1:5">
      <c r="A39" s="87">
        <v>34544</v>
      </c>
      <c r="B39" s="7">
        <v>30</v>
      </c>
      <c r="C39" s="7"/>
      <c r="D39" s="119">
        <v>0.12959999999999999</v>
      </c>
      <c r="E39" s="119">
        <f t="shared" si="2"/>
        <v>0.12186358775684052</v>
      </c>
    </row>
    <row r="40" spans="1:5">
      <c r="A40" s="87">
        <v>34577</v>
      </c>
      <c r="B40" s="7">
        <v>31</v>
      </c>
      <c r="C40" s="7"/>
      <c r="D40" s="119">
        <v>0.13550000000000001</v>
      </c>
      <c r="E40" s="119">
        <f t="shared" si="2"/>
        <v>0.12707308256347608</v>
      </c>
    </row>
    <row r="41" spans="1:5">
      <c r="A41" s="87">
        <v>34607</v>
      </c>
      <c r="B41" s="7">
        <v>32</v>
      </c>
      <c r="C41" s="7"/>
      <c r="D41" s="119">
        <v>-5.7299999999999997E-2</v>
      </c>
      <c r="E41" s="119">
        <f t="shared" si="2"/>
        <v>-5.9007180580032424E-2</v>
      </c>
    </row>
    <row r="42" spans="1:5">
      <c r="A42" s="87">
        <v>34638</v>
      </c>
      <c r="B42" s="7">
        <v>33</v>
      </c>
      <c r="C42" s="7"/>
      <c r="D42" s="119">
        <v>7.0900000000000005E-2</v>
      </c>
      <c r="E42" s="119">
        <f t="shared" si="2"/>
        <v>6.8499416424692261E-2</v>
      </c>
    </row>
    <row r="43" spans="1:5">
      <c r="A43" s="87">
        <v>34668</v>
      </c>
      <c r="B43" s="7">
        <v>34</v>
      </c>
      <c r="C43" s="7"/>
      <c r="D43" s="119">
        <v>-4.2599999999999999E-2</v>
      </c>
      <c r="E43" s="119">
        <f t="shared" si="2"/>
        <v>-4.3534002023728369E-2</v>
      </c>
    </row>
    <row r="44" spans="1:5">
      <c r="A44" s="87">
        <v>34698</v>
      </c>
      <c r="B44" s="7">
        <v>35</v>
      </c>
      <c r="C44" s="7"/>
      <c r="D44" s="119">
        <v>4.6899999999999997E-2</v>
      </c>
      <c r="E44" s="119">
        <f t="shared" si="2"/>
        <v>4.5833416343172152E-2</v>
      </c>
    </row>
    <row r="45" spans="1:5">
      <c r="A45" s="87">
        <v>34730</v>
      </c>
      <c r="B45" s="7">
        <v>36</v>
      </c>
      <c r="C45" s="7"/>
      <c r="D45" s="119">
        <v>-0.1132</v>
      </c>
      <c r="E45" s="119">
        <f t="shared" si="2"/>
        <v>-0.12013580123998062</v>
      </c>
    </row>
    <row r="46" spans="1:5">
      <c r="A46" s="87">
        <v>34758</v>
      </c>
      <c r="B46" s="7">
        <v>37</v>
      </c>
      <c r="C46" s="7"/>
      <c r="D46" s="119">
        <v>5.3E-3</v>
      </c>
      <c r="E46" s="119">
        <f t="shared" si="2"/>
        <v>5.2860044292374377E-3</v>
      </c>
    </row>
    <row r="47" spans="1:5">
      <c r="A47" s="87">
        <v>34789</v>
      </c>
      <c r="B47" s="7">
        <v>38</v>
      </c>
      <c r="C47" s="7"/>
      <c r="D47" s="119">
        <v>5.0299999999999997E-2</v>
      </c>
      <c r="E47" s="119">
        <f t="shared" si="2"/>
        <v>4.9075837646592645E-2</v>
      </c>
    </row>
    <row r="48" spans="1:5">
      <c r="A48" s="87">
        <v>34817</v>
      </c>
      <c r="B48" s="7">
        <v>39</v>
      </c>
      <c r="C48" s="7"/>
      <c r="D48" s="119">
        <v>-2.0199999999999999E-2</v>
      </c>
      <c r="E48" s="119">
        <f t="shared" si="2"/>
        <v>-2.040680977766262E-2</v>
      </c>
    </row>
    <row r="49" spans="1:5">
      <c r="A49" s="87">
        <v>34850</v>
      </c>
      <c r="B49" s="7">
        <v>40</v>
      </c>
      <c r="C49" s="7"/>
      <c r="D49" s="119">
        <v>6.4299999999999996E-2</v>
      </c>
      <c r="E49" s="119">
        <f t="shared" si="2"/>
        <v>6.2317306064861584E-2</v>
      </c>
    </row>
    <row r="50" spans="1:5">
      <c r="A50" s="87">
        <v>34880</v>
      </c>
      <c r="B50" s="7">
        <v>41</v>
      </c>
      <c r="C50" s="7"/>
      <c r="D50" s="119">
        <v>0.128</v>
      </c>
      <c r="E50" s="119">
        <f t="shared" si="2"/>
        <v>0.12044615307586726</v>
      </c>
    </row>
    <row r="51" spans="1:5">
      <c r="A51" s="87">
        <v>34911</v>
      </c>
      <c r="B51" s="7">
        <v>42</v>
      </c>
      <c r="C51" s="7"/>
      <c r="D51" s="119">
        <v>2.5700000000000001E-2</v>
      </c>
      <c r="E51" s="119">
        <f t="shared" si="2"/>
        <v>2.5375306331228299E-2</v>
      </c>
    </row>
    <row r="52" spans="1:5">
      <c r="A52" s="87">
        <v>34942</v>
      </c>
      <c r="B52" s="7">
        <v>43</v>
      </c>
      <c r="C52" s="7"/>
      <c r="D52" s="119">
        <v>0.1065</v>
      </c>
      <c r="E52" s="119">
        <f t="shared" si="2"/>
        <v>0.10120188050896733</v>
      </c>
    </row>
    <row r="53" spans="1:5">
      <c r="A53" s="87">
        <v>34971</v>
      </c>
      <c r="B53" s="7">
        <v>44</v>
      </c>
      <c r="C53" s="7"/>
      <c r="D53" s="119">
        <v>1.9E-3</v>
      </c>
      <c r="E53" s="119">
        <f t="shared" si="2"/>
        <v>1.8981972830802655E-3</v>
      </c>
    </row>
    <row r="54" spans="1:5">
      <c r="A54" s="87">
        <v>35003</v>
      </c>
      <c r="B54" s="7">
        <v>45</v>
      </c>
      <c r="C54" s="7"/>
      <c r="D54" s="119">
        <v>-1.6899999999999998E-2</v>
      </c>
      <c r="E54" s="119">
        <f t="shared" si="2"/>
        <v>-1.7044434609258474E-2</v>
      </c>
    </row>
    <row r="55" spans="1:5">
      <c r="A55" s="87">
        <v>35033</v>
      </c>
      <c r="B55" s="7">
        <v>46</v>
      </c>
      <c r="C55" s="7"/>
      <c r="D55" s="119">
        <v>-0.10340000000000001</v>
      </c>
      <c r="E55" s="119">
        <f t="shared" si="2"/>
        <v>-0.10914544726079799</v>
      </c>
    </row>
    <row r="56" spans="1:5">
      <c r="A56" s="87">
        <v>35062</v>
      </c>
      <c r="B56" s="7">
        <v>47</v>
      </c>
      <c r="C56" s="7"/>
      <c r="D56" s="119">
        <v>-1.4999999999999999E-2</v>
      </c>
      <c r="E56" s="119">
        <f t="shared" si="2"/>
        <v>-1.5113637810048184E-2</v>
      </c>
    </row>
    <row r="57" spans="1:5">
      <c r="A57" s="87">
        <v>35095</v>
      </c>
      <c r="B57" s="7">
        <v>48</v>
      </c>
      <c r="C57" s="7"/>
      <c r="D57" s="119">
        <v>3.04E-2</v>
      </c>
      <c r="E57" s="119">
        <f t="shared" si="2"/>
        <v>2.9947076367952099E-2</v>
      </c>
    </row>
    <row r="58" spans="1:5">
      <c r="A58" s="87">
        <v>35124</v>
      </c>
      <c r="B58" s="7">
        <v>49</v>
      </c>
      <c r="C58" s="7"/>
      <c r="D58" s="119">
        <v>-2.53E-2</v>
      </c>
      <c r="E58" s="119">
        <f t="shared" si="2"/>
        <v>-2.5625547638972731E-2</v>
      </c>
    </row>
    <row r="59" spans="1:5">
      <c r="A59" s="87">
        <v>35153</v>
      </c>
      <c r="B59" s="7">
        <v>50</v>
      </c>
      <c r="C59" s="7"/>
      <c r="D59" s="119">
        <v>4.7500000000000001E-2</v>
      </c>
      <c r="E59" s="119">
        <f t="shared" si="2"/>
        <v>4.6406372814155834E-2</v>
      </c>
    </row>
    <row r="60" spans="1:5">
      <c r="A60" s="87">
        <v>35185</v>
      </c>
      <c r="B60" s="7">
        <v>51</v>
      </c>
      <c r="C60" s="7"/>
      <c r="D60" s="119">
        <v>9.4799999999999995E-2</v>
      </c>
      <c r="E60" s="119">
        <f t="shared" si="2"/>
        <v>9.0571698184386956E-2</v>
      </c>
    </row>
    <row r="61" spans="1:5">
      <c r="A61" s="87">
        <v>35216</v>
      </c>
      <c r="B61" s="7">
        <v>52</v>
      </c>
      <c r="C61" s="7"/>
      <c r="D61" s="119">
        <v>-3.7699999999999997E-2</v>
      </c>
      <c r="E61" s="119">
        <f t="shared" si="2"/>
        <v>-3.8429026619781856E-2</v>
      </c>
    </row>
    <row r="62" spans="1:5">
      <c r="A62" s="87">
        <v>35244</v>
      </c>
      <c r="B62" s="7">
        <v>53</v>
      </c>
      <c r="C62" s="7"/>
      <c r="D62" s="119">
        <v>-6.2600000000000003E-2</v>
      </c>
      <c r="E62" s="119">
        <f t="shared" si="2"/>
        <v>-6.4645193493531289E-2</v>
      </c>
    </row>
    <row r="63" spans="1:5">
      <c r="A63" s="87">
        <v>35277</v>
      </c>
      <c r="B63" s="7">
        <v>54</v>
      </c>
      <c r="C63" s="7"/>
      <c r="D63" s="119">
        <v>-4.1799999999999997E-2</v>
      </c>
      <c r="E63" s="119">
        <f t="shared" si="2"/>
        <v>-4.2698754533115245E-2</v>
      </c>
    </row>
    <row r="64" spans="1:5">
      <c r="A64" s="87">
        <v>35307</v>
      </c>
      <c r="B64" s="7">
        <v>55</v>
      </c>
      <c r="C64" s="7"/>
      <c r="D64" s="119">
        <v>5.6599999999999998E-2</v>
      </c>
      <c r="E64" s="119">
        <f t="shared" si="2"/>
        <v>5.5056205748078388E-2</v>
      </c>
    </row>
    <row r="65" spans="1:5">
      <c r="A65" s="87">
        <v>35338</v>
      </c>
      <c r="B65" s="7">
        <v>56</v>
      </c>
      <c r="C65" s="7"/>
      <c r="D65" s="119">
        <v>-8.6599999999999996E-2</v>
      </c>
      <c r="E65" s="119">
        <f t="shared" si="2"/>
        <v>-9.0581378231238477E-2</v>
      </c>
    </row>
    <row r="66" spans="1:5">
      <c r="A66" s="87">
        <v>35369</v>
      </c>
      <c r="B66" s="7">
        <v>57</v>
      </c>
      <c r="C66" s="7"/>
      <c r="D66" s="119">
        <v>7.22E-2</v>
      </c>
      <c r="E66" s="119">
        <f t="shared" si="2"/>
        <v>6.9712612411300348E-2</v>
      </c>
    </row>
    <row r="67" spans="1:5">
      <c r="A67" s="87">
        <v>35398</v>
      </c>
      <c r="B67" s="7">
        <v>58</v>
      </c>
      <c r="C67" s="7"/>
      <c r="D67" s="119">
        <v>8.4199999999999997E-2</v>
      </c>
      <c r="E67" s="119">
        <f t="shared" si="2"/>
        <v>8.0842387844100805E-2</v>
      </c>
    </row>
    <row r="68" spans="1:5">
      <c r="A68" s="87">
        <v>35430</v>
      </c>
      <c r="B68" s="7">
        <v>59</v>
      </c>
      <c r="C68" s="7"/>
      <c r="D68" s="119">
        <v>-4.2700000000000002E-2</v>
      </c>
      <c r="E68" s="119">
        <f t="shared" si="2"/>
        <v>-4.3638457029829492E-2</v>
      </c>
    </row>
    <row r="69" spans="1:5">
      <c r="A69" s="87">
        <v>35461</v>
      </c>
      <c r="B69" s="7">
        <v>60</v>
      </c>
      <c r="C69" s="7"/>
      <c r="D69" s="119">
        <v>9.5299999999999996E-2</v>
      </c>
      <c r="E69" s="119">
        <f t="shared" si="2"/>
        <v>9.1028298347563763E-2</v>
      </c>
    </row>
    <row r="70" spans="1:5">
      <c r="A70" s="87">
        <v>35489</v>
      </c>
      <c r="B70" s="7">
        <v>61</v>
      </c>
      <c r="C70" s="7"/>
      <c r="D70" s="119">
        <v>7.9600000000000004E-2</v>
      </c>
      <c r="E70" s="119">
        <f t="shared" si="2"/>
        <v>7.6590602161712637E-2</v>
      </c>
    </row>
    <row r="71" spans="1:5">
      <c r="A71" s="87">
        <v>35520</v>
      </c>
      <c r="B71" s="7">
        <v>62</v>
      </c>
      <c r="C71" s="7"/>
      <c r="D71" s="119">
        <v>-4.4600000000000001E-2</v>
      </c>
      <c r="E71" s="119">
        <f t="shared" si="2"/>
        <v>-4.5625178026275554E-2</v>
      </c>
    </row>
  </sheetData>
  <phoneticPr fontId="11" type="noConversion"/>
  <printOptions headings="1" gridLines="1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0"/>
  <sheetViews>
    <sheetView showGridLines="0" workbookViewId="0"/>
  </sheetViews>
  <sheetFormatPr defaultRowHeight="12.75"/>
  <sheetData>
    <row r="1" spans="1:9">
      <c r="A1" s="42" t="s">
        <v>126</v>
      </c>
    </row>
    <row r="2" spans="1:9">
      <c r="A2" s="92" t="s">
        <v>53</v>
      </c>
      <c r="H2" s="1" t="s">
        <v>26</v>
      </c>
    </row>
    <row r="4" spans="1:9" ht="13.5" thickBot="1">
      <c r="C4" t="s">
        <v>54</v>
      </c>
      <c r="D4" t="s">
        <v>55</v>
      </c>
      <c r="F4" t="s">
        <v>56</v>
      </c>
      <c r="H4" t="s">
        <v>54</v>
      </c>
      <c r="I4" t="s">
        <v>55</v>
      </c>
    </row>
    <row r="5" spans="1:9" ht="13.5" thickBot="1">
      <c r="B5" s="4">
        <v>-4</v>
      </c>
      <c r="C5" s="11" t="e">
        <f>#N/A</f>
        <v>#N/A</v>
      </c>
      <c r="D5" s="11" t="e">
        <f>#N/A</f>
        <v>#N/A</v>
      </c>
      <c r="F5" s="41" t="e">
        <f>#N/A</f>
        <v>#N/A</v>
      </c>
      <c r="H5" s="5">
        <v>1.3383022576488534E-4</v>
      </c>
      <c r="I5" s="5">
        <v>3.1686034609235136E-5</v>
      </c>
    </row>
    <row r="6" spans="1:9" ht="13.5" thickBot="1">
      <c r="B6" s="4">
        <v>-3</v>
      </c>
      <c r="C6" s="11" t="e">
        <f t="shared" ref="C6:C13" si="0">#N/A</f>
        <v>#N/A</v>
      </c>
      <c r="D6" s="11" t="e">
        <f t="shared" ref="D6:D13" si="1">#N/A</f>
        <v>#N/A</v>
      </c>
      <c r="H6" s="5">
        <v>4.4318484119380067E-3</v>
      </c>
      <c r="I6" s="5">
        <v>1.3499672232354376E-3</v>
      </c>
    </row>
    <row r="7" spans="1:9" ht="13.5" thickBot="1">
      <c r="B7" s="4">
        <v>-2</v>
      </c>
      <c r="C7" s="11" t="e">
        <f t="shared" si="0"/>
        <v>#N/A</v>
      </c>
      <c r="D7" s="11" t="e">
        <f t="shared" si="1"/>
        <v>#N/A</v>
      </c>
      <c r="H7" s="5">
        <v>5.3990966513188049E-2</v>
      </c>
      <c r="I7" s="5">
        <v>2.2750062036186902E-2</v>
      </c>
    </row>
    <row r="8" spans="1:9" ht="13.5" thickBot="1">
      <c r="B8" s="4">
        <v>-1</v>
      </c>
      <c r="C8" s="11" t="e">
        <f t="shared" si="0"/>
        <v>#N/A</v>
      </c>
      <c r="D8" s="11" t="e">
        <f t="shared" si="1"/>
        <v>#N/A</v>
      </c>
      <c r="H8" s="5">
        <v>0.24197072451914334</v>
      </c>
      <c r="I8" s="5">
        <v>0.15865525975899586</v>
      </c>
    </row>
    <row r="9" spans="1:9" ht="13.5" thickBot="1">
      <c r="B9" s="4">
        <v>0</v>
      </c>
      <c r="C9" s="11" t="e">
        <f t="shared" si="0"/>
        <v>#N/A</v>
      </c>
      <c r="D9" s="11" t="e">
        <f t="shared" si="1"/>
        <v>#N/A</v>
      </c>
      <c r="H9" s="5">
        <v>0.39894228040143265</v>
      </c>
      <c r="I9" s="5">
        <v>0.49999999978172083</v>
      </c>
    </row>
    <row r="10" spans="1:9" ht="13.5" thickBot="1">
      <c r="B10" s="4">
        <v>1</v>
      </c>
      <c r="C10" s="11" t="e">
        <f t="shared" si="0"/>
        <v>#N/A</v>
      </c>
      <c r="D10" s="11" t="e">
        <f t="shared" si="1"/>
        <v>#N/A</v>
      </c>
      <c r="H10" s="5">
        <v>0.24197072451914334</v>
      </c>
      <c r="I10" s="5">
        <v>0.84134474024100414</v>
      </c>
    </row>
    <row r="11" spans="1:9" ht="13.5" thickBot="1">
      <c r="B11" s="4">
        <v>2</v>
      </c>
      <c r="C11" s="11" t="e">
        <f t="shared" si="0"/>
        <v>#N/A</v>
      </c>
      <c r="D11" s="11" t="e">
        <f t="shared" si="1"/>
        <v>#N/A</v>
      </c>
      <c r="H11" s="5">
        <v>5.3990966513188049E-2</v>
      </c>
      <c r="I11" s="5">
        <v>0.9772499379638131</v>
      </c>
    </row>
    <row r="12" spans="1:9" ht="13.5" thickBot="1">
      <c r="B12" s="4">
        <v>3</v>
      </c>
      <c r="C12" s="11" t="e">
        <f t="shared" si="0"/>
        <v>#N/A</v>
      </c>
      <c r="D12" s="11" t="e">
        <f t="shared" si="1"/>
        <v>#N/A</v>
      </c>
      <c r="H12" s="5">
        <v>4.4318484119380067E-3</v>
      </c>
      <c r="I12" s="5">
        <v>0.99865003277676456</v>
      </c>
    </row>
    <row r="13" spans="1:9" ht="13.5" thickBot="1">
      <c r="B13" s="4">
        <v>4</v>
      </c>
      <c r="C13" s="11" t="e">
        <f t="shared" si="0"/>
        <v>#N/A</v>
      </c>
      <c r="D13" s="11" t="e">
        <f t="shared" si="1"/>
        <v>#N/A</v>
      </c>
      <c r="H13" s="5">
        <v>1.3383022576488534E-4</v>
      </c>
      <c r="I13" s="5">
        <v>0.99996831396539076</v>
      </c>
    </row>
    <row r="14" spans="1:9">
      <c r="D14" s="23"/>
    </row>
    <row r="15" spans="1:9">
      <c r="D15" s="23"/>
    </row>
    <row r="16" spans="1:9">
      <c r="B16" s="4"/>
      <c r="D16" s="23"/>
      <c r="H16" s="22"/>
      <c r="I16" s="22"/>
    </row>
    <row r="17" spans="2:9">
      <c r="B17" s="4"/>
      <c r="D17" s="23"/>
      <c r="H17" s="22"/>
      <c r="I17" s="22"/>
    </row>
    <row r="19" spans="2:9">
      <c r="C19" s="22"/>
    </row>
    <row r="20" spans="2:9">
      <c r="C20" s="22"/>
    </row>
    <row r="21" spans="2:9">
      <c r="C21" s="22"/>
    </row>
    <row r="22" spans="2:9">
      <c r="C22" s="22"/>
    </row>
    <row r="23" spans="2:9">
      <c r="C23" s="22"/>
    </row>
    <row r="24" spans="2:9">
      <c r="C24" s="22"/>
    </row>
    <row r="25" spans="2:9">
      <c r="C25" s="22"/>
    </row>
    <row r="26" spans="2:9">
      <c r="C26" s="22"/>
    </row>
    <row r="27" spans="2:9">
      <c r="C27" s="22"/>
    </row>
    <row r="28" spans="2:9">
      <c r="C28" s="22"/>
    </row>
    <row r="29" spans="2:9">
      <c r="C29" s="22"/>
    </row>
    <row r="30" spans="2:9">
      <c r="C30" s="22"/>
    </row>
  </sheetData>
  <phoneticPr fontId="1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7"/>
  <sheetViews>
    <sheetView showGridLines="0" zoomScale="130" workbookViewId="0">
      <selection activeCell="E27" sqref="E27"/>
    </sheetView>
  </sheetViews>
  <sheetFormatPr defaultColWidth="9.33203125" defaultRowHeight="12.75"/>
  <cols>
    <col min="1" max="1" width="9.33203125" style="37"/>
    <col min="2" max="3" width="10.83203125" style="37" customWidth="1"/>
    <col min="4" max="4" width="9.33203125" style="37"/>
    <col min="5" max="5" width="11.1640625" style="37" customWidth="1"/>
    <col min="6" max="6" width="10.6640625" style="37" customWidth="1"/>
    <col min="7" max="16384" width="9.33203125" style="37"/>
  </cols>
  <sheetData>
    <row r="1" spans="1:11">
      <c r="A1" s="42" t="s">
        <v>126</v>
      </c>
    </row>
    <row r="2" spans="1:11" s="35" customFormat="1">
      <c r="A2" s="34" t="s">
        <v>57</v>
      </c>
      <c r="B2" s="24"/>
      <c r="D2" s="24"/>
      <c r="E2" s="24"/>
      <c r="F2" s="24"/>
      <c r="G2" s="24"/>
    </row>
    <row r="3" spans="1:11" s="35" customFormat="1">
      <c r="A3" s="34"/>
      <c r="B3" s="24"/>
      <c r="D3" s="24"/>
      <c r="E3" s="24"/>
      <c r="F3" s="24"/>
      <c r="G3" s="24"/>
    </row>
    <row r="4" spans="1:11" s="35" customFormat="1" ht="13.5" thickBot="1">
      <c r="B4" s="24" t="s">
        <v>58</v>
      </c>
      <c r="D4" s="26" t="s">
        <v>59</v>
      </c>
      <c r="F4" s="25" t="s">
        <v>60</v>
      </c>
      <c r="G4" s="25" t="s">
        <v>61</v>
      </c>
      <c r="J4" s="26" t="s">
        <v>59</v>
      </c>
    </row>
    <row r="5" spans="1:11" s="35" customFormat="1" ht="13.5" thickBot="1">
      <c r="B5" s="24">
        <v>25000</v>
      </c>
      <c r="D5" s="114">
        <f>B5*VLOOKUP(B5,ComRate,2,TRUE)</f>
        <v>3000</v>
      </c>
      <c r="E5" s="35">
        <f>B5*G7</f>
        <v>3000</v>
      </c>
      <c r="F5" s="31">
        <v>0</v>
      </c>
      <c r="G5" s="32">
        <v>0.08</v>
      </c>
      <c r="J5" s="27">
        <f>B5*G7</f>
        <v>3000</v>
      </c>
    </row>
    <row r="6" spans="1:11" s="35" customFormat="1" ht="13.5" thickBot="1">
      <c r="F6" s="31">
        <v>10000</v>
      </c>
      <c r="G6" s="32">
        <v>0.105</v>
      </c>
    </row>
    <row r="7" spans="1:11" s="35" customFormat="1" ht="13.5" thickBot="1">
      <c r="B7" s="24">
        <v>10000</v>
      </c>
      <c r="D7" s="114">
        <f>B7*VLOOKUP(B7,ComRate,2,TRUE)</f>
        <v>1050</v>
      </c>
      <c r="E7" s="35">
        <f>B7*G6</f>
        <v>1050</v>
      </c>
      <c r="F7" s="31">
        <v>20000</v>
      </c>
      <c r="G7" s="32">
        <v>0.12</v>
      </c>
      <c r="J7" s="27">
        <f>B7*G6</f>
        <v>1050</v>
      </c>
    </row>
    <row r="8" spans="1:11" s="35" customFormat="1" ht="13.5" thickBot="1">
      <c r="F8" s="31"/>
      <c r="G8" s="33"/>
    </row>
    <row r="9" spans="1:11" s="35" customFormat="1" ht="13.5" thickBot="1">
      <c r="B9" s="24">
        <v>19999</v>
      </c>
      <c r="D9" s="114">
        <f>B9*VLOOKUP(B9,ComRate,2,TRUE)</f>
        <v>2099.895</v>
      </c>
      <c r="E9" s="24">
        <f>B9*G6</f>
        <v>2099.895</v>
      </c>
      <c r="F9" s="25"/>
      <c r="G9" s="24"/>
      <c r="J9" s="30">
        <f>B9*G6</f>
        <v>2099.895</v>
      </c>
    </row>
    <row r="10" spans="1:11" s="35" customFormat="1" ht="13.5" thickBot="1">
      <c r="A10" s="24"/>
      <c r="E10" s="28"/>
      <c r="F10" s="25"/>
      <c r="G10" s="28" t="s">
        <v>62</v>
      </c>
    </row>
    <row r="11" spans="1:11" s="35" customFormat="1" ht="13.5" thickBot="1">
      <c r="A11" s="24"/>
      <c r="B11" s="24">
        <v>20000</v>
      </c>
      <c r="D11" s="114">
        <f>B11*VLOOKUP(B11,ComRate,2,TRUE)</f>
        <v>2400</v>
      </c>
      <c r="E11" s="35">
        <f>B11*G7</f>
        <v>2400</v>
      </c>
      <c r="F11" s="25"/>
      <c r="J11" s="27">
        <f>B11*G7</f>
        <v>2400</v>
      </c>
    </row>
    <row r="12" spans="1:11" s="35" customFormat="1">
      <c r="A12" s="24"/>
      <c r="B12" s="27"/>
      <c r="D12" s="25"/>
      <c r="E12" s="24" t="s">
        <v>63</v>
      </c>
      <c r="F12" s="38" t="s">
        <v>64</v>
      </c>
      <c r="G12" s="24"/>
    </row>
    <row r="13" spans="1:11" s="35" customFormat="1">
      <c r="A13" s="29"/>
      <c r="B13" s="24"/>
      <c r="G13" s="24"/>
    </row>
    <row r="14" spans="1:11">
      <c r="A14" s="36"/>
      <c r="B14" s="36"/>
      <c r="C14" s="36"/>
      <c r="F14" s="36"/>
      <c r="G14" s="36"/>
      <c r="H14" s="36"/>
      <c r="I14" s="36"/>
      <c r="J14" s="36"/>
      <c r="K14" s="36"/>
    </row>
    <row r="15" spans="1:11" s="10" customFormat="1">
      <c r="A15" s="92" t="s">
        <v>65</v>
      </c>
    </row>
    <row r="16" spans="1:11">
      <c r="F16" s="34" t="s">
        <v>66</v>
      </c>
      <c r="G16" s="113" t="s">
        <v>67</v>
      </c>
    </row>
    <row r="17" spans="2:7" s="10" customFormat="1" ht="13.5" thickBot="1">
      <c r="B17" s="10" t="s">
        <v>66</v>
      </c>
      <c r="C17" s="116">
        <v>0.24</v>
      </c>
      <c r="F17" s="39">
        <v>0.15</v>
      </c>
      <c r="G17" s="40">
        <v>8.6257230925187685</v>
      </c>
    </row>
    <row r="18" spans="2:7" s="10" customFormat="1" ht="13.5" thickBot="1">
      <c r="B18" s="10" t="s">
        <v>68</v>
      </c>
      <c r="D18" s="115">
        <f>VLOOKUP(C17,F17:G27,2,FALSE)</f>
        <v>10.670751153567359</v>
      </c>
      <c r="F18" s="39">
        <v>0.16</v>
      </c>
      <c r="G18" s="40">
        <v>8.8353048385109929</v>
      </c>
    </row>
    <row r="19" spans="2:7" s="10" customFormat="1">
      <c r="F19" s="39">
        <v>0.17</v>
      </c>
      <c r="G19" s="40">
        <v>9.0509066904899953</v>
      </c>
    </row>
    <row r="20" spans="2:7" s="10" customFormat="1">
      <c r="F20" s="39">
        <v>0.18</v>
      </c>
      <c r="G20" s="40">
        <v>9.2716474828185795</v>
      </c>
    </row>
    <row r="21" spans="2:7" s="10" customFormat="1" ht="13.5" thickBot="1">
      <c r="B21" s="10" t="s">
        <v>69</v>
      </c>
      <c r="C21" s="113">
        <v>9.7257629574651006</v>
      </c>
      <c r="F21" s="39">
        <v>0.19</v>
      </c>
      <c r="G21" s="40">
        <v>9.4968005730100415</v>
      </c>
    </row>
    <row r="22" spans="2:7" s="10" customFormat="1" ht="13.5" thickBot="1">
      <c r="B22" s="10" t="s">
        <v>70</v>
      </c>
      <c r="D22" s="117">
        <f>MATCH(C21,G17:G27,0)</f>
        <v>6</v>
      </c>
      <c r="F22" s="39">
        <v>0.2</v>
      </c>
      <c r="G22" s="40">
        <v>9.7257629574651006</v>
      </c>
    </row>
    <row r="23" spans="2:7" s="10" customFormat="1">
      <c r="F23" s="39">
        <v>0.21</v>
      </c>
      <c r="G23" s="40">
        <v>9.9580310212275265</v>
      </c>
    </row>
    <row r="24" spans="2:7" s="10" customFormat="1">
      <c r="F24" s="39">
        <v>0.22</v>
      </c>
      <c r="G24" s="40">
        <v>10.193181482724491</v>
      </c>
    </row>
    <row r="25" spans="2:7" s="10" customFormat="1">
      <c r="B25" s="10" t="s">
        <v>71</v>
      </c>
      <c r="C25" s="1">
        <v>8</v>
      </c>
      <c r="F25" s="39">
        <v>0.23</v>
      </c>
      <c r="G25" s="40">
        <v>10.430856374637372</v>
      </c>
    </row>
    <row r="26" spans="2:7" s="10" customFormat="1" ht="13.5" thickBot="1">
      <c r="B26" s="10" t="s">
        <v>72</v>
      </c>
      <c r="C26" s="1">
        <v>2</v>
      </c>
      <c r="F26" s="39">
        <v>0.24</v>
      </c>
      <c r="G26" s="40">
        <v>10.670751153567359</v>
      </c>
    </row>
    <row r="27" spans="2:7" s="10" customFormat="1" ht="13.5" thickBot="1">
      <c r="B27" s="10" t="s">
        <v>73</v>
      </c>
      <c r="D27" s="115">
        <f>INDEX(F17:G27,C25,C26)</f>
        <v>10.193181482724491</v>
      </c>
      <c r="F27" s="39">
        <v>0.25</v>
      </c>
      <c r="G27" s="40">
        <v>10.912605237740053</v>
      </c>
    </row>
  </sheetData>
  <phoneticPr fontId="11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5"/>
  <sheetViews>
    <sheetView showGridLines="0" zoomScale="190" workbookViewId="0">
      <selection activeCell="C11" sqref="C11:G13"/>
    </sheetView>
  </sheetViews>
  <sheetFormatPr defaultColWidth="10.6640625" defaultRowHeight="12.75"/>
  <cols>
    <col min="1" max="16384" width="10.6640625" style="93"/>
  </cols>
  <sheetData>
    <row r="1" spans="1:9">
      <c r="A1" s="42" t="s">
        <v>126</v>
      </c>
    </row>
    <row r="2" spans="1:9">
      <c r="A2" s="96" t="s">
        <v>74</v>
      </c>
      <c r="B2" s="94"/>
      <c r="C2" s="94"/>
      <c r="D2" s="94"/>
      <c r="E2" s="94"/>
    </row>
    <row r="3" spans="1:9">
      <c r="B3" s="94" t="s">
        <v>75</v>
      </c>
      <c r="C3" s="99" t="s">
        <v>76</v>
      </c>
      <c r="D3" s="100" t="s">
        <v>77</v>
      </c>
      <c r="E3" s="100" t="s">
        <v>78</v>
      </c>
      <c r="F3" s="100" t="s">
        <v>79</v>
      </c>
      <c r="G3" s="101" t="s">
        <v>80</v>
      </c>
      <c r="H3" s="148"/>
    </row>
    <row r="4" spans="1:9">
      <c r="B4" s="94" t="s">
        <v>81</v>
      </c>
      <c r="C4" s="102">
        <v>100</v>
      </c>
      <c r="D4" s="103">
        <v>98</v>
      </c>
      <c r="E4" s="103">
        <v>95.5</v>
      </c>
      <c r="F4" s="103">
        <v>101</v>
      </c>
      <c r="G4" s="104">
        <v>102.1</v>
      </c>
      <c r="H4" s="106"/>
    </row>
    <row r="5" spans="1:9">
      <c r="B5" s="94" t="s">
        <v>82</v>
      </c>
      <c r="C5" s="105">
        <v>5</v>
      </c>
      <c r="D5" s="106">
        <v>4</v>
      </c>
      <c r="E5" s="106">
        <v>3</v>
      </c>
      <c r="F5" s="106">
        <v>5</v>
      </c>
      <c r="G5" s="107">
        <v>6</v>
      </c>
      <c r="H5" s="106"/>
    </row>
    <row r="6" spans="1:9">
      <c r="A6" s="142" t="s">
        <v>83</v>
      </c>
      <c r="B6" s="94" t="s">
        <v>84</v>
      </c>
      <c r="C6" s="108">
        <v>1</v>
      </c>
      <c r="D6" s="109">
        <v>2</v>
      </c>
      <c r="E6" s="109">
        <v>2</v>
      </c>
      <c r="F6" s="109">
        <v>3</v>
      </c>
      <c r="G6" s="110">
        <v>3</v>
      </c>
      <c r="H6" s="106"/>
    </row>
    <row r="7" spans="1:9">
      <c r="H7" s="106"/>
    </row>
    <row r="8" spans="1:9">
      <c r="A8" s="96" t="s">
        <v>85</v>
      </c>
      <c r="C8" s="94" t="s">
        <v>76</v>
      </c>
      <c r="D8" s="94" t="s">
        <v>77</v>
      </c>
      <c r="E8" s="94" t="s">
        <v>78</v>
      </c>
      <c r="F8" s="94" t="s">
        <v>79</v>
      </c>
      <c r="G8" s="94" t="s">
        <v>80</v>
      </c>
      <c r="H8" s="106"/>
    </row>
    <row r="9" spans="1:9">
      <c r="A9" s="93" t="s">
        <v>86</v>
      </c>
      <c r="C9" s="98">
        <f>C4</f>
        <v>100</v>
      </c>
      <c r="D9" s="95">
        <f>D4</f>
        <v>98</v>
      </c>
      <c r="E9" s="95">
        <f>E4</f>
        <v>95.5</v>
      </c>
      <c r="F9" s="95">
        <f>F4</f>
        <v>101</v>
      </c>
      <c r="G9" s="95">
        <f>G4</f>
        <v>102.1</v>
      </c>
      <c r="H9" s="106"/>
      <c r="I9" s="98"/>
    </row>
    <row r="10" spans="1:9" ht="13.5" thickBot="1">
      <c r="A10" s="93" t="s">
        <v>87</v>
      </c>
      <c r="B10" s="142" t="s">
        <v>88</v>
      </c>
      <c r="D10" s="95"/>
      <c r="E10" s="95"/>
      <c r="F10" s="95"/>
      <c r="G10" s="95"/>
      <c r="H10" s="106"/>
    </row>
    <row r="11" spans="1:9" ht="13.5" thickBot="1">
      <c r="A11" s="94" t="s">
        <v>89</v>
      </c>
      <c r="B11" s="93">
        <v>1</v>
      </c>
      <c r="C11" s="111">
        <f>IF($B11&lt;C$6,C$5,IF($B11=C$6,100+C$5,0))</f>
        <v>105</v>
      </c>
      <c r="D11" s="111">
        <f t="shared" ref="D11:G13" si="0">IF($B11&lt;D$6,D$5,IF($B11=D$6,100+D$5,0))</f>
        <v>4</v>
      </c>
      <c r="E11" s="111">
        <f t="shared" si="0"/>
        <v>3</v>
      </c>
      <c r="F11" s="111">
        <f t="shared" si="0"/>
        <v>5</v>
      </c>
      <c r="G11" s="111">
        <f t="shared" si="0"/>
        <v>6</v>
      </c>
      <c r="H11" s="149"/>
      <c r="I11" s="98"/>
    </row>
    <row r="12" spans="1:9" ht="13.5" thickBot="1">
      <c r="A12" s="97" t="s">
        <v>89</v>
      </c>
      <c r="B12" s="93">
        <v>2</v>
      </c>
      <c r="C12" s="111">
        <f>IF($B12&lt;C$6,C$5,IF($B12=C$6,100+C$5,0))</f>
        <v>0</v>
      </c>
      <c r="D12" s="111">
        <f t="shared" si="0"/>
        <v>104</v>
      </c>
      <c r="E12" s="111">
        <f t="shared" si="0"/>
        <v>103</v>
      </c>
      <c r="F12" s="111">
        <f t="shared" si="0"/>
        <v>5</v>
      </c>
      <c r="G12" s="111">
        <f t="shared" si="0"/>
        <v>6</v>
      </c>
      <c r="H12" s="149"/>
    </row>
    <row r="13" spans="1:9" ht="13.5" thickBot="1">
      <c r="A13" s="97" t="s">
        <v>89</v>
      </c>
      <c r="B13" s="93">
        <v>3</v>
      </c>
      <c r="C13" s="111">
        <f>IF($B13&lt;C$6,C$5,IF($B13=C$6,100+C$5,0))</f>
        <v>0</v>
      </c>
      <c r="D13" s="111">
        <f t="shared" si="0"/>
        <v>0</v>
      </c>
      <c r="E13" s="111">
        <f t="shared" si="0"/>
        <v>0</v>
      </c>
      <c r="F13" s="111">
        <f t="shared" si="0"/>
        <v>105</v>
      </c>
      <c r="G13" s="111">
        <f t="shared" si="0"/>
        <v>106</v>
      </c>
      <c r="H13" s="149"/>
    </row>
    <row r="14" spans="1:9">
      <c r="B14" s="93">
        <v>4</v>
      </c>
      <c r="C14" s="150" t="s">
        <v>127</v>
      </c>
      <c r="H14" s="149"/>
    </row>
    <row r="15" spans="1:9">
      <c r="H15" s="149"/>
    </row>
  </sheetData>
  <phoneticPr fontId="11" type="noConversion"/>
  <printOptions headings="1" gridLines="1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54"/>
  <sheetViews>
    <sheetView showGridLines="0" tabSelected="1" topLeftCell="A37" zoomScale="145" workbookViewId="0">
      <selection activeCell="A58" sqref="A58"/>
    </sheetView>
  </sheetViews>
  <sheetFormatPr defaultColWidth="10.6640625" defaultRowHeight="12.75"/>
  <cols>
    <col min="1" max="1" width="19" style="43" customWidth="1"/>
    <col min="2" max="2" width="11.33203125" style="43" customWidth="1"/>
    <col min="3" max="3" width="10.5" style="43" customWidth="1"/>
    <col min="4" max="5" width="10.1640625" style="43" customWidth="1"/>
    <col min="6" max="6" width="18.1640625" style="43" customWidth="1"/>
    <col min="7" max="11" width="10.6640625" style="43"/>
    <col min="12" max="12" width="5" style="43" customWidth="1"/>
    <col min="13" max="16384" width="10.6640625" style="43"/>
  </cols>
  <sheetData>
    <row r="1" spans="1:10">
      <c r="A1" s="42" t="s">
        <v>128</v>
      </c>
    </row>
    <row r="2" spans="1:10">
      <c r="A2" s="44" t="s">
        <v>90</v>
      </c>
    </row>
    <row r="3" spans="1:10">
      <c r="A3" s="43" t="s">
        <v>91</v>
      </c>
      <c r="C3" s="45"/>
      <c r="E3" s="45"/>
      <c r="F3" s="45"/>
      <c r="G3" s="45"/>
      <c r="H3" s="45"/>
    </row>
    <row r="4" spans="1:10">
      <c r="A4" s="43" t="s">
        <v>92</v>
      </c>
      <c r="B4" s="46"/>
      <c r="C4" s="44">
        <v>1</v>
      </c>
    </row>
    <row r="5" spans="1:10">
      <c r="A5" s="43" t="s">
        <v>93</v>
      </c>
      <c r="B5" s="46"/>
      <c r="C5" s="47">
        <v>0.05</v>
      </c>
      <c r="E5" s="48"/>
    </row>
    <row r="6" spans="1:10" ht="14.25">
      <c r="A6" s="43" t="s">
        <v>94</v>
      </c>
      <c r="B6" s="46" t="s">
        <v>95</v>
      </c>
      <c r="C6" s="49">
        <f>EXP(C5)-1</f>
        <v>5.1271096376024117E-2</v>
      </c>
      <c r="D6" s="48"/>
    </row>
    <row r="7" spans="1:10">
      <c r="A7" s="43" t="s">
        <v>96</v>
      </c>
      <c r="B7" s="46"/>
      <c r="C7" s="44">
        <v>1</v>
      </c>
      <c r="J7" s="46"/>
    </row>
    <row r="8" spans="1:10">
      <c r="J8" s="46"/>
    </row>
    <row r="9" spans="1:10">
      <c r="A9" s="43" t="s">
        <v>97</v>
      </c>
      <c r="E9" s="50" t="s">
        <v>98</v>
      </c>
      <c r="J9" s="46"/>
    </row>
    <row r="10" spans="1:10">
      <c r="A10" s="43" t="s">
        <v>99</v>
      </c>
      <c r="C10" s="51">
        <f>$C$4*EXP($C$5*$C$7)</f>
        <v>1.0512710963760241</v>
      </c>
      <c r="J10" s="46"/>
    </row>
    <row r="11" spans="1:10">
      <c r="A11" s="43" t="s">
        <v>100</v>
      </c>
      <c r="C11" s="51">
        <f>$C$4*EXP(-$C$5*$C$7)</f>
        <v>0.95122942450071402</v>
      </c>
      <c r="E11" s="50" t="s">
        <v>101</v>
      </c>
    </row>
    <row r="12" spans="1:10">
      <c r="C12" s="50"/>
      <c r="E12" s="50"/>
    </row>
    <row r="13" spans="1:10">
      <c r="C13" s="44" t="s">
        <v>102</v>
      </c>
      <c r="E13" s="50"/>
    </row>
    <row r="14" spans="1:10">
      <c r="C14" s="52"/>
    </row>
    <row r="15" spans="1:10" ht="13.5" thickBot="1">
      <c r="D15" s="53" t="s">
        <v>103</v>
      </c>
      <c r="E15" s="53" t="s">
        <v>104</v>
      </c>
      <c r="J15" s="43" t="s">
        <v>105</v>
      </c>
    </row>
    <row r="16" spans="1:10" ht="13.5" thickBot="1">
      <c r="C16" s="46"/>
      <c r="D16" s="54">
        <f>C10</f>
        <v>1.0512710963760241</v>
      </c>
      <c r="E16" s="55">
        <f>C11</f>
        <v>0.95122942450071402</v>
      </c>
      <c r="J16" s="43" t="str">
        <f>J15&amp;C5</f>
        <v>Rate = 0.05</v>
      </c>
    </row>
    <row r="17" spans="1:9" ht="13.5" thickBot="1">
      <c r="C17" s="56">
        <v>1</v>
      </c>
      <c r="D17" s="57">
        <f t="dataTable" ref="D17:E26" dt2D="0" dtr="0" r1="C7"/>
        <v>1.0512710963760241</v>
      </c>
      <c r="E17" s="57">
        <v>0.95122942450071402</v>
      </c>
    </row>
    <row r="18" spans="1:9" ht="13.5" thickBot="1">
      <c r="A18" s="44" t="s">
        <v>106</v>
      </c>
      <c r="C18" s="56">
        <v>2</v>
      </c>
      <c r="D18" s="57">
        <v>1.1051709180756477</v>
      </c>
      <c r="E18" s="57">
        <v>0.90483741803595952</v>
      </c>
    </row>
    <row r="19" spans="1:9" ht="13.5" thickBot="1">
      <c r="A19" s="44" t="s">
        <v>107</v>
      </c>
      <c r="C19" s="56">
        <v>3</v>
      </c>
      <c r="D19" s="57">
        <v>1.1618342427282831</v>
      </c>
      <c r="E19" s="57">
        <v>0.86070797642505781</v>
      </c>
    </row>
    <row r="20" spans="1:9" ht="13.5" thickBot="1">
      <c r="C20" s="56">
        <v>4</v>
      </c>
      <c r="D20" s="57">
        <v>1.2214027581601699</v>
      </c>
      <c r="E20" s="57">
        <v>0.81873075307798182</v>
      </c>
    </row>
    <row r="21" spans="1:9" ht="13.5" thickBot="1">
      <c r="C21" s="56">
        <v>5</v>
      </c>
      <c r="D21" s="57">
        <v>1.2840254166877414</v>
      </c>
      <c r="E21" s="57">
        <v>0.77880078307140488</v>
      </c>
    </row>
    <row r="22" spans="1:9" ht="13.5" thickBot="1">
      <c r="C22" s="56">
        <v>6</v>
      </c>
      <c r="D22" s="57">
        <v>1.3498588075760032</v>
      </c>
      <c r="E22" s="57">
        <v>0.74081822068171788</v>
      </c>
    </row>
    <row r="23" spans="1:9" ht="13.5" thickBot="1">
      <c r="C23" s="56">
        <v>7</v>
      </c>
      <c r="D23" s="57">
        <v>1.4190675485932573</v>
      </c>
      <c r="E23" s="57">
        <v>0.70468808971871344</v>
      </c>
    </row>
    <row r="24" spans="1:9" ht="13.5" thickBot="1">
      <c r="C24" s="56">
        <v>8</v>
      </c>
      <c r="D24" s="57">
        <v>1.4918246976412703</v>
      </c>
      <c r="E24" s="57">
        <v>0.67032004603563933</v>
      </c>
    </row>
    <row r="25" spans="1:9" ht="13.5" thickBot="1">
      <c r="C25" s="56">
        <v>9</v>
      </c>
      <c r="D25" s="57">
        <v>1.5683121854901689</v>
      </c>
      <c r="E25" s="57">
        <v>0.63762815162177333</v>
      </c>
    </row>
    <row r="26" spans="1:9">
      <c r="C26" s="56">
        <v>10</v>
      </c>
      <c r="D26" s="57">
        <v>1.6487212707001282</v>
      </c>
      <c r="E26" s="57">
        <v>0.60653065971263342</v>
      </c>
    </row>
    <row r="27" spans="1:9">
      <c r="C27" s="60"/>
      <c r="D27" s="53"/>
      <c r="E27" s="53"/>
    </row>
    <row r="28" spans="1:9">
      <c r="B28" s="44" t="s">
        <v>108</v>
      </c>
      <c r="C28" s="60"/>
      <c r="D28" s="53"/>
      <c r="E28" s="53"/>
    </row>
    <row r="29" spans="1:9" ht="13.5" thickBot="1">
      <c r="F29" s="43" t="s">
        <v>109</v>
      </c>
    </row>
    <row r="30" spans="1:9" ht="13.5" thickBot="1">
      <c r="C30" s="112">
        <f>C11</f>
        <v>0.95122942450071402</v>
      </c>
      <c r="D30" s="62">
        <v>0.03</v>
      </c>
      <c r="E30" s="63">
        <v>3.5000000000000003E-2</v>
      </c>
      <c r="F30" s="63">
        <v>0.04</v>
      </c>
      <c r="G30" s="63">
        <v>0.05</v>
      </c>
      <c r="H30" s="63">
        <v>5.5E-2</v>
      </c>
      <c r="I30" s="64">
        <v>0.06</v>
      </c>
    </row>
    <row r="31" spans="1:9">
      <c r="A31" s="44" t="s">
        <v>106</v>
      </c>
      <c r="C31" s="56">
        <v>1</v>
      </c>
      <c r="D31" s="61">
        <f t="dataTable" ref="D31:I40" dt2D="1" dtr="1" r1="C5" r2="C7" ca="1"/>
        <v>0.97044553354850815</v>
      </c>
      <c r="E31" s="61">
        <v>0.96560541625756646</v>
      </c>
      <c r="F31" s="61">
        <v>0.96078943915232318</v>
      </c>
      <c r="G31" s="61">
        <v>0.95122942450071402</v>
      </c>
      <c r="H31" s="61">
        <v>0.94648514795348382</v>
      </c>
      <c r="I31" s="61">
        <v>0.94176453358424872</v>
      </c>
    </row>
    <row r="32" spans="1:9">
      <c r="A32" s="44" t="s">
        <v>110</v>
      </c>
      <c r="C32" s="58">
        <v>2</v>
      </c>
      <c r="D32" s="61">
        <v>0.94176453358424872</v>
      </c>
      <c r="E32" s="61">
        <v>0.93239381990594827</v>
      </c>
      <c r="F32" s="61">
        <v>0.92311634638663576</v>
      </c>
      <c r="G32" s="61">
        <v>0.90483741803595952</v>
      </c>
      <c r="H32" s="61">
        <v>0.89583413529652822</v>
      </c>
      <c r="I32" s="61">
        <v>0.88692043671715748</v>
      </c>
    </row>
    <row r="33" spans="1:9">
      <c r="C33" s="58">
        <v>3</v>
      </c>
      <c r="D33" s="61">
        <v>0.91393118527122819</v>
      </c>
      <c r="E33" s="61">
        <v>0.90032452258626561</v>
      </c>
      <c r="F33" s="61">
        <v>0.88692043671715748</v>
      </c>
      <c r="G33" s="61">
        <v>0.86070797642505781</v>
      </c>
      <c r="H33" s="61">
        <v>0.84789370408791587</v>
      </c>
      <c r="I33" s="61">
        <v>0.835270211411272</v>
      </c>
    </row>
    <row r="34" spans="1:9">
      <c r="C34" s="58">
        <v>4</v>
      </c>
      <c r="D34" s="61">
        <v>0.88692043671715748</v>
      </c>
      <c r="E34" s="61">
        <v>0.86935823539880586</v>
      </c>
      <c r="F34" s="61">
        <v>0.85214378896621135</v>
      </c>
      <c r="G34" s="61">
        <v>0.81873075307798182</v>
      </c>
      <c r="H34" s="61">
        <v>0.80251879796247849</v>
      </c>
      <c r="I34" s="61">
        <v>0.78662786106655347</v>
      </c>
    </row>
    <row r="35" spans="1:9">
      <c r="B35" s="46" t="s">
        <v>111</v>
      </c>
      <c r="C35" s="58">
        <v>5</v>
      </c>
      <c r="D35" s="61">
        <v>0.86070797642505781</v>
      </c>
      <c r="E35" s="61">
        <v>0.83945702076920736</v>
      </c>
      <c r="F35" s="61">
        <v>0.81873075307798182</v>
      </c>
      <c r="G35" s="61">
        <v>0.77880078307140488</v>
      </c>
      <c r="H35" s="61">
        <v>0.75957212322496848</v>
      </c>
      <c r="I35" s="61">
        <v>0.74081822068171788</v>
      </c>
    </row>
    <row r="36" spans="1:9">
      <c r="C36" s="58">
        <v>6</v>
      </c>
      <c r="D36" s="61">
        <v>0.835270211411272</v>
      </c>
      <c r="E36" s="61">
        <v>0.81058424597018708</v>
      </c>
      <c r="F36" s="61">
        <v>0.78662786106655347</v>
      </c>
      <c r="G36" s="61">
        <v>0.74081822068171788</v>
      </c>
      <c r="H36" s="61">
        <v>0.71892373343192617</v>
      </c>
      <c r="I36" s="61">
        <v>0.69767632607103103</v>
      </c>
    </row>
    <row r="37" spans="1:9">
      <c r="C37" s="58">
        <v>7</v>
      </c>
      <c r="D37" s="61">
        <v>0.81058424597018708</v>
      </c>
      <c r="E37" s="61">
        <v>0.78270453824186814</v>
      </c>
      <c r="F37" s="61">
        <v>0.75578374145572547</v>
      </c>
      <c r="G37" s="61">
        <v>0.70468808971871344</v>
      </c>
      <c r="H37" s="61">
        <v>0.68045063620458768</v>
      </c>
      <c r="I37" s="61">
        <v>0.65704681981505675</v>
      </c>
    </row>
    <row r="38" spans="1:9">
      <c r="C38" s="58">
        <v>8</v>
      </c>
      <c r="D38" s="61">
        <v>0.78662786106655347</v>
      </c>
      <c r="E38" s="61">
        <v>0.75578374145572547</v>
      </c>
      <c r="F38" s="61">
        <v>0.72614903707369094</v>
      </c>
      <c r="G38" s="61">
        <v>0.67032004603563933</v>
      </c>
      <c r="H38" s="61">
        <v>0.64403642108314141</v>
      </c>
      <c r="I38" s="61">
        <v>0.61878339180614084</v>
      </c>
    </row>
    <row r="39" spans="1:9">
      <c r="C39" s="58">
        <v>9</v>
      </c>
      <c r="D39" s="61">
        <v>0.76337949433685315</v>
      </c>
      <c r="E39" s="61">
        <v>0.72978887426905681</v>
      </c>
      <c r="F39" s="61">
        <v>0.69767632607103103</v>
      </c>
      <c r="G39" s="61">
        <v>0.63762815162177333</v>
      </c>
      <c r="H39" s="61">
        <v>0.60957090729630925</v>
      </c>
      <c r="I39" s="61">
        <v>0.58274825237398964</v>
      </c>
    </row>
    <row r="40" spans="1:9" ht="13.5" thickBot="1">
      <c r="C40" s="59">
        <v>10</v>
      </c>
      <c r="D40" s="61">
        <v>0.74081822068171788</v>
      </c>
      <c r="E40" s="61">
        <v>0.70468808971871344</v>
      </c>
      <c r="F40" s="61">
        <v>0.67032004603563933</v>
      </c>
      <c r="G40" s="61">
        <v>0.60653065971263342</v>
      </c>
      <c r="H40" s="61">
        <v>0.57694981038048665</v>
      </c>
      <c r="I40" s="61">
        <v>0.54881163609402639</v>
      </c>
    </row>
    <row r="41" spans="1:9">
      <c r="C41" s="65"/>
    </row>
    <row r="42" spans="1:9">
      <c r="C42" s="65"/>
    </row>
    <row r="43" spans="1:9">
      <c r="C43" s="65"/>
    </row>
    <row r="44" spans="1:9">
      <c r="C44" s="65"/>
    </row>
    <row r="45" spans="1:9">
      <c r="C45" s="65"/>
    </row>
    <row r="46" spans="1:9">
      <c r="A46" s="6" t="s">
        <v>129</v>
      </c>
      <c r="B46"/>
      <c r="C46"/>
      <c r="D46"/>
      <c r="E46"/>
      <c r="F46"/>
      <c r="G46"/>
    </row>
    <row r="47" spans="1:9">
      <c r="A47" s="143" t="s">
        <v>112</v>
      </c>
      <c r="B47"/>
      <c r="C47"/>
      <c r="D47"/>
      <c r="E47"/>
      <c r="F47"/>
      <c r="G47"/>
    </row>
    <row r="48" spans="1:9">
      <c r="A48"/>
      <c r="B48"/>
      <c r="C48"/>
      <c r="D48"/>
      <c r="E48"/>
      <c r="F48"/>
      <c r="G48"/>
    </row>
    <row r="49" spans="1:7">
      <c r="A49" s="2" t="s">
        <v>113</v>
      </c>
      <c r="B49"/>
      <c r="C49" s="144">
        <v>100</v>
      </c>
      <c r="D49"/>
      <c r="E49" s="145" t="s">
        <v>114</v>
      </c>
      <c r="F49"/>
      <c r="G49" s="4">
        <f>BSOptionValue(1,C49,C50,C51,C52,C53,C54)</f>
        <v>10.430000308097377</v>
      </c>
    </row>
    <row r="50" spans="1:7">
      <c r="A50" s="146" t="s">
        <v>115</v>
      </c>
      <c r="B50"/>
      <c r="C50" s="144">
        <v>95</v>
      </c>
      <c r="D50"/>
      <c r="E50"/>
      <c r="F50"/>
      <c r="G50"/>
    </row>
    <row r="51" spans="1:7">
      <c r="A51" s="2" t="s">
        <v>116</v>
      </c>
      <c r="B51"/>
      <c r="C51" s="147">
        <v>0.08</v>
      </c>
      <c r="D51"/>
      <c r="E51"/>
      <c r="F51"/>
      <c r="G51"/>
    </row>
    <row r="52" spans="1:7">
      <c r="A52" s="2" t="s">
        <v>117</v>
      </c>
      <c r="B52"/>
      <c r="C52" s="147">
        <v>0.03</v>
      </c>
      <c r="D52"/>
      <c r="E52"/>
      <c r="F52"/>
      <c r="G52"/>
    </row>
    <row r="53" spans="1:7">
      <c r="A53" s="2" t="s">
        <v>118</v>
      </c>
      <c r="B53"/>
      <c r="C53" s="144">
        <v>0.5</v>
      </c>
      <c r="D53"/>
      <c r="E53" t="s">
        <v>119</v>
      </c>
      <c r="F53"/>
      <c r="G53">
        <v>10.43</v>
      </c>
    </row>
    <row r="54" spans="1:7">
      <c r="A54" s="2" t="s">
        <v>120</v>
      </c>
      <c r="B54"/>
      <c r="C54" s="147">
        <v>0.2299644780392453</v>
      </c>
      <c r="D54"/>
      <c r="E54" t="s">
        <v>121</v>
      </c>
      <c r="F54"/>
      <c r="G54" s="4">
        <f>G53-G49</f>
        <v>-3.0809737694426076E-7</v>
      </c>
    </row>
  </sheetData>
  <phoneticPr fontId="11" type="noConversion"/>
  <printOptions headings="1" gridLines="1"/>
  <pageMargins left="0.75" right="0.75" top="1" bottom="1" header="0.5" footer="0.5"/>
  <pageSetup paperSize="9" scale="55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2"/>
  <sheetViews>
    <sheetView showGridLines="0" zoomScale="160" workbookViewId="0">
      <selection activeCell="B5" sqref="B5"/>
    </sheetView>
  </sheetViews>
  <sheetFormatPr defaultColWidth="9.1640625" defaultRowHeight="12.75"/>
  <cols>
    <col min="1" max="1" width="9.1640625" style="10"/>
    <col min="2" max="2" width="42.1640625" style="10" customWidth="1"/>
    <col min="3" max="3" width="10.6640625" style="10" customWidth="1"/>
    <col min="4" max="16384" width="9.1640625" style="10"/>
  </cols>
  <sheetData>
    <row r="1" spans="1:8">
      <c r="A1" s="42" t="s">
        <v>126</v>
      </c>
    </row>
    <row r="2" spans="1:8">
      <c r="A2" s="92" t="s">
        <v>122</v>
      </c>
    </row>
    <row r="3" spans="1:8">
      <c r="F3" s="128"/>
      <c r="G3" s="128"/>
      <c r="H3" s="128"/>
    </row>
    <row r="4" spans="1:8">
      <c r="A4" s="10" t="s">
        <v>58</v>
      </c>
      <c r="B4" s="129" t="s">
        <v>59</v>
      </c>
      <c r="D4" s="130" t="s">
        <v>60</v>
      </c>
      <c r="E4" s="131" t="s">
        <v>61</v>
      </c>
      <c r="F4" s="128"/>
      <c r="G4" s="132"/>
      <c r="H4" s="128"/>
    </row>
    <row r="5" spans="1:8">
      <c r="A5" s="10">
        <v>28888</v>
      </c>
      <c r="B5" s="132">
        <f>IF(AND(A5&gt;=0,A5&lt;10000),A5*0.08,IF(AND(A5&gt;=10000,A5&lt;20000),A5*0.105,A5*0.12))</f>
        <v>3466.56</v>
      </c>
      <c r="D5" s="130">
        <v>0</v>
      </c>
      <c r="E5" s="133">
        <v>0.08</v>
      </c>
      <c r="F5" s="128"/>
      <c r="G5" s="128"/>
      <c r="H5" s="128"/>
    </row>
    <row r="6" spans="1:8">
      <c r="A6" s="10">
        <v>9888</v>
      </c>
      <c r="B6" s="132">
        <f>IF(AND(A6&gt;=0,A6&lt;10000),A6*0.08,IF(AND(A6&gt;=10000,A6&lt;20000),A6*0.105,A6*0.12))</f>
        <v>791.04</v>
      </c>
      <c r="D6" s="134">
        <v>10000</v>
      </c>
      <c r="E6" s="135">
        <v>0.105</v>
      </c>
      <c r="F6" s="128"/>
      <c r="G6" s="132"/>
      <c r="H6" s="128"/>
    </row>
    <row r="7" spans="1:8">
      <c r="A7" s="10">
        <v>11111</v>
      </c>
      <c r="B7" s="132">
        <f>IF(AND(A7&gt;=0,A7&lt;10000),A7*0.08,IF(AND(A7&gt;=10000,A7&lt;20000),A7*0.105,A7*0.12))</f>
        <v>1166.655</v>
      </c>
      <c r="D7" s="136">
        <v>20000</v>
      </c>
      <c r="E7" s="137">
        <v>0.12</v>
      </c>
      <c r="F7" s="128"/>
      <c r="G7" s="128"/>
      <c r="H7" s="128"/>
    </row>
    <row r="8" spans="1:8">
      <c r="B8" s="10" t="s">
        <v>63</v>
      </c>
      <c r="D8" s="128"/>
      <c r="E8" s="138"/>
      <c r="F8" s="128"/>
      <c r="G8" s="128"/>
      <c r="H8" s="128"/>
    </row>
    <row r="9" spans="1:8">
      <c r="B9" s="139" t="s">
        <v>130</v>
      </c>
      <c r="D9" s="128"/>
      <c r="E9" s="138"/>
      <c r="F9" s="128"/>
      <c r="G9" s="128"/>
      <c r="H9" s="128"/>
    </row>
    <row r="10" spans="1:8">
      <c r="B10" s="132"/>
      <c r="D10" s="128"/>
      <c r="E10" s="138"/>
      <c r="F10" s="128"/>
      <c r="G10" s="128"/>
      <c r="H10" s="128"/>
    </row>
    <row r="11" spans="1:8">
      <c r="A11" s="92"/>
      <c r="B11" s="152" t="s">
        <v>131</v>
      </c>
      <c r="E11" s="128"/>
      <c r="F11" s="128"/>
      <c r="G11" s="128"/>
      <c r="H11" s="128"/>
    </row>
    <row r="12" spans="1:8">
      <c r="A12" s="129" t="s">
        <v>58</v>
      </c>
      <c r="B12" s="129" t="s">
        <v>59</v>
      </c>
      <c r="C12" s="129" t="s">
        <v>123</v>
      </c>
      <c r="E12" s="128"/>
      <c r="F12" s="128"/>
      <c r="G12" s="128"/>
      <c r="H12" s="128"/>
    </row>
    <row r="13" spans="1:8">
      <c r="A13" s="10">
        <v>28888</v>
      </c>
      <c r="B13" s="10">
        <f>sales_commission(A13)</f>
        <v>3466.56</v>
      </c>
      <c r="H13" s="128"/>
    </row>
    <row r="14" spans="1:8">
      <c r="A14" s="10">
        <v>9888</v>
      </c>
      <c r="B14" s="10">
        <f>sales_commission(A14)</f>
        <v>791.04</v>
      </c>
    </row>
    <row r="15" spans="1:8">
      <c r="A15" s="10">
        <v>11111</v>
      </c>
      <c r="B15" s="10">
        <f>sales_commission(A15)</f>
        <v>1166.655</v>
      </c>
    </row>
    <row r="60" spans="1:2">
      <c r="A60" s="140" t="s">
        <v>124</v>
      </c>
      <c r="B60" s="128"/>
    </row>
    <row r="61" spans="1:2">
      <c r="A61" s="140" t="s">
        <v>125</v>
      </c>
    </row>
    <row r="62" spans="1:2">
      <c r="A62" s="140"/>
    </row>
  </sheetData>
  <phoneticPr fontId="11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190" zoomScaleNormal="190" workbookViewId="0"/>
  </sheetViews>
  <sheetFormatPr defaultRowHeight="12.75"/>
  <sheetData/>
  <phoneticPr fontId="1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"/>
  <sheetViews>
    <sheetView zoomScale="160" zoomScaleNormal="160" workbookViewId="0">
      <selection activeCell="A28" sqref="A28"/>
    </sheetView>
  </sheetViews>
  <sheetFormatPr defaultRowHeight="12.75"/>
  <cols>
    <col min="1" max="1" width="17.5" customWidth="1"/>
    <col min="2" max="2" width="21.83203125" customWidth="1"/>
    <col min="3" max="3" width="23.5" customWidth="1"/>
  </cols>
  <sheetData>
    <row r="1" spans="2:2">
      <c r="B1" s="151"/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6</vt:i4>
      </vt:variant>
    </vt:vector>
  </HeadingPairs>
  <TitlesOfParts>
    <vt:vector size="17" baseType="lpstr">
      <vt:lpstr>Math</vt:lpstr>
      <vt:lpstr>MatDef</vt:lpstr>
      <vt:lpstr>MatExs</vt:lpstr>
      <vt:lpstr>Frequency</vt:lpstr>
      <vt:lpstr>SNorm</vt:lpstr>
      <vt:lpstr>Lookup</vt:lpstr>
      <vt:lpstr>Bonds</vt:lpstr>
      <vt:lpstr>CompoundDTab</vt:lpstr>
      <vt:lpstr>SalesCom</vt:lpstr>
      <vt:lpstr>Sheet1</vt:lpstr>
      <vt:lpstr>William_Test</vt:lpstr>
      <vt:lpstr>MatDef!A</vt:lpstr>
      <vt:lpstr>ComRate</vt:lpstr>
      <vt:lpstr>invA</vt:lpstr>
      <vt:lpstr>rate</vt:lpstr>
      <vt:lpstr>Y</vt:lpstr>
      <vt:lpstr>佣金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Excel运算</dc:title>
  <dc:creator>yons</dc:creator>
  <cp:lastModifiedBy>yons</cp:lastModifiedBy>
  <cp:lastPrinted>2000-08-17T15:52:13Z</cp:lastPrinted>
  <dcterms:created xsi:type="dcterms:W3CDTF">2000-07-16T11:21:18Z</dcterms:created>
  <dcterms:modified xsi:type="dcterms:W3CDTF">2018-12-15T19:26:01Z</dcterms:modified>
</cp:coreProperties>
</file>