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2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ons/Desktop/"/>
    </mc:Choice>
  </mc:AlternateContent>
  <bookViews>
    <workbookView xWindow="480" yWindow="460" windowWidth="25760" windowHeight="15720" activeTab="3"/>
  </bookViews>
  <sheets>
    <sheet name="3Assets" sheetId="1" r:id="rId1"/>
    <sheet name="2Asset" sheetId="2" r:id="rId2"/>
    <sheet name="2Asset2" sheetId="3" r:id="rId3"/>
    <sheet name="MoreAssets" sheetId="4" r:id="rId4"/>
  </sheets>
  <definedNames>
    <definedName name="change1">'3Assets'!$I$10:$I$11</definedName>
    <definedName name="change2">#REF!</definedName>
    <definedName name="effwts2">#REF!</definedName>
    <definedName name="niter2">#REF!</definedName>
    <definedName name="portmax2">#REF!</definedName>
    <definedName name="portmin2">#REF!</definedName>
    <definedName name="portret1">'3Assets'!$I$15</definedName>
    <definedName name="portret2">#REF!</definedName>
    <definedName name="portsd1">'3Assets'!$I$16</definedName>
    <definedName name="portsd2">#REF!</definedName>
    <definedName name="portwts2">#REF!</definedName>
    <definedName name="priter2">#REF!</definedName>
    <definedName name="solver_adj" localSheetId="0" hidden="1">'3Assets'!$I$10:$I$11</definedName>
    <definedName name="solver_eng" localSheetId="0" hidden="1">1</definedName>
    <definedName name="solver_lhs1" localSheetId="0" hidden="1">'3Assets'!$I$15</definedName>
    <definedName name="solver_neg" localSheetId="0" hidden="1">1</definedName>
    <definedName name="solver_num" localSheetId="0" hidden="1">1</definedName>
    <definedName name="solver_opt" localSheetId="0" hidden="1">'3Assets'!$I$16</definedName>
    <definedName name="solver_rel1" localSheetId="0" hidden="1">2</definedName>
    <definedName name="solver_rhs1" localSheetId="0" hidden="1">0.07</definedName>
    <definedName name="solver_typ" localSheetId="0" hidden="1">2</definedName>
    <definedName name="solver_val" localSheetId="0" hidden="1">0</definedName>
    <definedName name="solver_ver" localSheetId="0" hidden="1">3</definedName>
    <definedName name="target1">'3Assets'!$I$5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4" l="1"/>
  <c r="C25" i="4"/>
  <c r="C38" i="4" a="1"/>
  <c r="C39" i="4"/>
  <c r="C38" i="4"/>
  <c r="C40" i="4"/>
  <c r="G12" i="3"/>
  <c r="D9" i="4"/>
  <c r="D8" i="4"/>
  <c r="B24" i="4"/>
  <c r="B33" i="4"/>
  <c r="B19" i="4"/>
  <c r="C16" i="4"/>
  <c r="C11" i="4"/>
  <c r="C24" i="4"/>
  <c r="B25" i="3"/>
  <c r="B25" i="4"/>
  <c r="C22" i="4"/>
  <c r="E16" i="4"/>
  <c r="G16" i="4"/>
  <c r="C24" i="3"/>
  <c r="C23" i="3"/>
  <c r="B23" i="3"/>
  <c r="B24" i="3"/>
  <c r="B18" i="3"/>
  <c r="B14" i="3"/>
  <c r="C12" i="3"/>
  <c r="L15" i="3"/>
  <c r="C9" i="3"/>
  <c r="E22" i="4"/>
  <c r="B34" i="4"/>
  <c r="G22" i="4"/>
  <c r="D22" i="4"/>
  <c r="E12" i="3"/>
  <c r="K15" i="3"/>
  <c r="B19" i="3"/>
  <c r="E17" i="3"/>
  <c r="M15" i="3"/>
  <c r="B38" i="4"/>
  <c r="B40" i="4"/>
  <c r="B39" i="4"/>
  <c r="C17" i="3"/>
  <c r="G17" i="3"/>
  <c r="E22" i="3"/>
  <c r="L2" i="3"/>
  <c r="C22" i="3"/>
  <c r="G22" i="3"/>
  <c r="C12" i="2"/>
  <c r="B14" i="2"/>
  <c r="B20" i="2"/>
  <c r="I18" i="1" a="1"/>
  <c r="I18" i="1"/>
  <c r="J18" i="1"/>
  <c r="J19" i="1"/>
  <c r="J16" i="1"/>
  <c r="I15" i="1"/>
  <c r="I16" i="1"/>
  <c r="C15" i="1"/>
  <c r="C16" i="1"/>
  <c r="D16" i="1"/>
  <c r="E16" i="1"/>
  <c r="C17" i="1"/>
  <c r="D17" i="1"/>
  <c r="E17" i="1"/>
  <c r="D15" i="1"/>
  <c r="E15" i="1"/>
  <c r="J15" i="1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N57" i="4"/>
  <c r="L57" i="4"/>
  <c r="K57" i="4"/>
  <c r="N56" i="4"/>
  <c r="L56" i="4"/>
  <c r="K56" i="4"/>
  <c r="N55" i="4"/>
  <c r="L55" i="4"/>
  <c r="K55" i="4"/>
  <c r="N54" i="4"/>
  <c r="L54" i="4"/>
  <c r="K54" i="4"/>
  <c r="N53" i="4"/>
  <c r="L53" i="4"/>
  <c r="K53" i="4"/>
  <c r="N52" i="4"/>
  <c r="L52" i="4"/>
  <c r="K52" i="4"/>
  <c r="N51" i="4"/>
  <c r="L51" i="4"/>
  <c r="K51" i="4"/>
  <c r="N50" i="4"/>
  <c r="L50" i="4"/>
  <c r="K50" i="4"/>
  <c r="N49" i="4"/>
  <c r="L49" i="4"/>
  <c r="K49" i="4"/>
  <c r="N48" i="4"/>
  <c r="L48" i="4"/>
  <c r="K48" i="4"/>
  <c r="N47" i="4"/>
  <c r="L47" i="4"/>
  <c r="K47" i="4"/>
  <c r="L16" i="4"/>
  <c r="D12" i="1"/>
  <c r="C12" i="1"/>
  <c r="C11" i="1"/>
  <c r="K16" i="4"/>
  <c r="L25" i="2"/>
  <c r="K25" i="2"/>
  <c r="M16" i="4"/>
  <c r="K32" i="4"/>
  <c r="M25" i="2"/>
  <c r="L32" i="4"/>
  <c r="M32" i="4"/>
  <c r="E12" i="2"/>
  <c r="K11" i="2"/>
  <c r="G13" i="2"/>
  <c r="L11" i="2"/>
  <c r="G12" i="2"/>
  <c r="M11" i="2"/>
</calcChain>
</file>

<file path=xl/sharedStrings.xml><?xml version="1.0" encoding="utf-8"?>
<sst xmlns="http://schemas.openxmlformats.org/spreadsheetml/2006/main" count="170" uniqueCount="50">
  <si>
    <t>Asset Data</t>
  </si>
  <si>
    <t>Exp Ret</t>
  </si>
  <si>
    <t>Std Dev</t>
  </si>
  <si>
    <t>TBills</t>
  </si>
  <si>
    <t>Target exp return</t>
  </si>
  <si>
    <t>Bonds</t>
  </si>
  <si>
    <t>Shares</t>
  </si>
  <si>
    <t>Correlation Matrix</t>
  </si>
  <si>
    <t>Portfolio weights</t>
  </si>
  <si>
    <t>VCV matrix</t>
  </si>
  <si>
    <t>Variance</t>
  </si>
  <si>
    <t>Risk aversion coefficient (A)</t>
  </si>
  <si>
    <t>return</t>
  </si>
  <si>
    <t>xs return</t>
  </si>
  <si>
    <t>std dev</t>
  </si>
  <si>
    <t>asset 0</t>
  </si>
  <si>
    <t>asset 1</t>
  </si>
  <si>
    <t>cov (0,1)</t>
  </si>
  <si>
    <t>Data Table for Chart1</t>
  </si>
  <si>
    <t>utility</t>
  </si>
  <si>
    <t>CAL Portfolio</t>
  </si>
  <si>
    <t>weights</t>
  </si>
  <si>
    <t>Optimal Portfolio</t>
  </si>
  <si>
    <t>via function</t>
  </si>
  <si>
    <t>risk aver A</t>
  </si>
  <si>
    <t>asset 1  Bonds</t>
  </si>
  <si>
    <t>asset 2 Shares</t>
  </si>
  <si>
    <t>corr (1,2)</t>
  </si>
  <si>
    <t>cov (1,2)</t>
  </si>
  <si>
    <t>Frontier Portfolio</t>
  </si>
  <si>
    <t>Data Table for Chart2</t>
  </si>
  <si>
    <t>asset 2</t>
  </si>
  <si>
    <t>MV Portfolio</t>
  </si>
  <si>
    <t>Optimal Risky Portfolio</t>
  </si>
  <si>
    <t>cov (0,opt)</t>
  </si>
  <si>
    <t>via function</t>
    <phoneticPr fontId="3" type="noConversion"/>
  </si>
  <si>
    <t>Two Asset : risk-free asset and 1 risky asset</t>
    <phoneticPr fontId="3" type="noConversion"/>
  </si>
  <si>
    <t>Two Asset2 : 2 risky assets</t>
    <phoneticPr fontId="3" type="noConversion"/>
  </si>
  <si>
    <r>
      <rPr>
        <b/>
        <sz val="10"/>
        <rFont val="DengXian"/>
        <family val="3"/>
        <charset val="134"/>
      </rPr>
      <t>股票建模</t>
    </r>
    <r>
      <rPr>
        <b/>
        <sz val="10"/>
        <rFont val="Times New Roman"/>
        <family val="1"/>
      </rPr>
      <t>.XLS</t>
    </r>
    <phoneticPr fontId="3" type="noConversion"/>
  </si>
  <si>
    <r>
      <rPr>
        <b/>
        <sz val="10"/>
        <rFont val="DengXian"/>
        <family val="3"/>
        <charset val="134"/>
      </rPr>
      <t>股票建模</t>
    </r>
    <r>
      <rPr>
        <b/>
        <sz val="10"/>
        <rFont val="Times New Roman"/>
        <family val="1"/>
      </rPr>
      <t>.XLS</t>
    </r>
    <phoneticPr fontId="3" type="noConversion"/>
  </si>
  <si>
    <t>股票建模.XLS</t>
    <phoneticPr fontId="3" type="noConversion"/>
  </si>
  <si>
    <t>三资产简单组合</t>
    <phoneticPr fontId="3" type="noConversion"/>
  </si>
  <si>
    <t>普通组合问题：风险资产+风险资产</t>
    <phoneticPr fontId="3" type="noConversion"/>
  </si>
  <si>
    <t>两资产组合：无风险资产+有风险资产</t>
    <phoneticPr fontId="3" type="noConversion"/>
  </si>
  <si>
    <t>从特殊到一般：风险组合+无风险资产</t>
    <phoneticPr fontId="3" type="noConversion"/>
  </si>
  <si>
    <t>More Asset : risk-free asset and 2 risky assets</t>
    <phoneticPr fontId="3" type="noConversion"/>
  </si>
  <si>
    <t>Considering risk-free asset</t>
    <phoneticPr fontId="3" type="noConversion"/>
  </si>
  <si>
    <t>Data Table of Frontier Portfolio</t>
    <phoneticPr fontId="3" type="noConversion"/>
  </si>
  <si>
    <t>risk-free asset and optimal risky portfolio</t>
    <phoneticPr fontId="3" type="noConversion"/>
  </si>
  <si>
    <t>最一般情况：加入无风险资产与风险资产组合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</si>
</sst>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%"/>
    <numFmt numFmtId="165" formatCode="0.0000"/>
    <numFmt numFmtId="166" formatCode="0.0"/>
    <numFmt numFmtId="167" formatCode="0.000"/>
    <numFmt numFmtId="168" formatCode="0.0000_ "/>
    <numFmt numFmtId="169" formatCode="0.00000000%"/>
    <numFmt numFmtId="170" formatCode="0.00000000000000%"/>
  </numFmts>
  <fonts count="11" x14ac:knownFonts="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0"/>
      <name val="Times New Roman"/>
      <family val="1"/>
    </font>
    <font>
      <sz val="9"/>
      <name val="Calibri"/>
      <family val="2"/>
      <charset val="134"/>
      <scheme val="minor"/>
    </font>
    <font>
      <sz val="10"/>
      <name val="Arial"/>
      <family val="2"/>
    </font>
    <font>
      <sz val="10"/>
      <name val="Times New Roman"/>
      <family val="1"/>
    </font>
    <font>
      <sz val="9"/>
      <name val="Times New Roman"/>
      <family val="1"/>
    </font>
    <font>
      <b/>
      <sz val="10"/>
      <color rgb="FF0070C0"/>
      <name val="Times New Roman"/>
      <family val="1"/>
    </font>
    <font>
      <sz val="11"/>
      <color rgb="FF0070C0"/>
      <name val="Calibri"/>
      <family val="2"/>
      <charset val="134"/>
      <scheme val="minor"/>
    </font>
    <font>
      <sz val="10"/>
      <color rgb="FF0070C0"/>
      <name val="Times New Roman"/>
      <family val="1"/>
    </font>
    <font>
      <b/>
      <sz val="1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71">
    <xf numFmtId="0" fontId="0" fillId="0" borderId="0" xfId="0">
      <alignment vertical="center"/>
    </xf>
    <xf numFmtId="0" fontId="2" fillId="0" borderId="0" xfId="0" applyFont="1" applyAlignment="1"/>
    <xf numFmtId="0" fontId="0" fillId="0" borderId="0" xfId="0" applyAlignment="1"/>
    <xf numFmtId="0" fontId="2" fillId="0" borderId="0" xfId="0" quotePrefix="1" applyFont="1" applyAlignment="1">
      <alignment horizontal="left"/>
    </xf>
    <xf numFmtId="0" fontId="2" fillId="0" borderId="0" xfId="2" applyFont="1"/>
    <xf numFmtId="0" fontId="5" fillId="0" borderId="0" xfId="2" applyFont="1"/>
    <xf numFmtId="0" fontId="5" fillId="0" borderId="0" xfId="2" quotePrefix="1" applyFont="1" applyAlignment="1">
      <alignment horizontal="right"/>
    </xf>
    <xf numFmtId="0" fontId="5" fillId="0" borderId="0" xfId="2" applyFont="1" applyAlignment="1">
      <alignment horizontal="right"/>
    </xf>
    <xf numFmtId="0" fontId="0" fillId="0" borderId="0" xfId="0" applyAlignment="1">
      <alignment horizontal="left"/>
    </xf>
    <xf numFmtId="164" fontId="2" fillId="0" borderId="0" xfId="2" applyNumberFormat="1" applyFont="1"/>
    <xf numFmtId="0" fontId="5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2" fontId="2" fillId="0" borderId="0" xfId="2" applyNumberFormat="1" applyFont="1"/>
    <xf numFmtId="2" fontId="5" fillId="0" borderId="0" xfId="2" applyNumberFormat="1" applyFont="1"/>
    <xf numFmtId="0" fontId="2" fillId="0" borderId="0" xfId="2" quotePrefix="1" applyFont="1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/>
    <xf numFmtId="165" fontId="5" fillId="0" borderId="0" xfId="2" applyNumberFormat="1" applyFont="1"/>
    <xf numFmtId="165" fontId="0" fillId="0" borderId="0" xfId="0" applyNumberFormat="1" applyAlignment="1"/>
    <xf numFmtId="0" fontId="0" fillId="0" borderId="0" xfId="0" quotePrefix="1" applyAlignment="1">
      <alignment horizontal="left"/>
    </xf>
    <xf numFmtId="10" fontId="0" fillId="0" borderId="0" xfId="0" applyNumberFormat="1" applyAlignment="1"/>
    <xf numFmtId="0" fontId="6" fillId="0" borderId="0" xfId="0" applyFont="1" applyAlignment="1"/>
    <xf numFmtId="166" fontId="0" fillId="0" borderId="0" xfId="0" applyNumberFormat="1" applyAlignment="1"/>
    <xf numFmtId="167" fontId="0" fillId="0" borderId="0" xfId="0" applyNumberFormat="1" applyAlignment="1"/>
    <xf numFmtId="164" fontId="7" fillId="0" borderId="0" xfId="2" applyNumberFormat="1" applyFont="1"/>
    <xf numFmtId="2" fontId="8" fillId="0" borderId="0" xfId="0" applyNumberFormat="1" applyFont="1" applyAlignment="1"/>
    <xf numFmtId="2" fontId="7" fillId="0" borderId="0" xfId="0" applyNumberFormat="1" applyFont="1" applyAlignment="1"/>
    <xf numFmtId="164" fontId="8" fillId="0" borderId="0" xfId="0" applyNumberFormat="1" applyFont="1" applyAlignment="1"/>
    <xf numFmtId="164" fontId="7" fillId="0" borderId="0" xfId="0" applyNumberFormat="1" applyFont="1" applyAlignment="1"/>
    <xf numFmtId="10" fontId="9" fillId="0" borderId="0" xfId="0" applyNumberFormat="1" applyFont="1" applyAlignment="1"/>
    <xf numFmtId="2" fontId="9" fillId="0" borderId="0" xfId="0" applyNumberFormat="1" applyFont="1" applyAlignment="1"/>
    <xf numFmtId="10" fontId="8" fillId="0" borderId="0" xfId="0" applyNumberFormat="1" applyFont="1" applyAlignment="1"/>
    <xf numFmtId="164" fontId="7" fillId="0" borderId="0" xfId="1" applyNumberFormat="1" applyFont="1" applyAlignment="1"/>
    <xf numFmtId="167" fontId="8" fillId="0" borderId="0" xfId="0" applyNumberFormat="1" applyFont="1" applyAlignment="1"/>
    <xf numFmtId="165" fontId="2" fillId="0" borderId="2" xfId="2" applyNumberFormat="1" applyFont="1" applyBorder="1"/>
    <xf numFmtId="164" fontId="0" fillId="0" borderId="1" xfId="0" applyNumberFormat="1" applyBorder="1" applyAlignment="1"/>
    <xf numFmtId="164" fontId="2" fillId="0" borderId="1" xfId="0" applyNumberFormat="1" applyFont="1" applyBorder="1" applyAlignment="1"/>
    <xf numFmtId="165" fontId="0" fillId="0" borderId="1" xfId="0" applyNumberFormat="1" applyBorder="1" applyAlignment="1"/>
    <xf numFmtId="10" fontId="0" fillId="0" borderId="1" xfId="0" applyNumberFormat="1" applyBorder="1" applyAlignment="1"/>
    <xf numFmtId="10" fontId="0" fillId="0" borderId="2" xfId="0" applyNumberFormat="1" applyBorder="1" applyAlignment="1"/>
    <xf numFmtId="10" fontId="0" fillId="0" borderId="3" xfId="0" applyNumberFormat="1" applyBorder="1" applyAlignment="1"/>
    <xf numFmtId="165" fontId="0" fillId="0" borderId="4" xfId="0" applyNumberFormat="1" applyBorder="1" applyAlignment="1"/>
    <xf numFmtId="10" fontId="0" fillId="0" borderId="5" xfId="0" applyNumberFormat="1" applyBorder="1" applyAlignment="1"/>
    <xf numFmtId="10" fontId="0" fillId="0" borderId="0" xfId="0" applyNumberFormat="1" applyBorder="1" applyAlignment="1"/>
    <xf numFmtId="165" fontId="0" fillId="0" borderId="6" xfId="0" applyNumberFormat="1" applyBorder="1" applyAlignment="1"/>
    <xf numFmtId="10" fontId="0" fillId="0" borderId="7" xfId="0" applyNumberFormat="1" applyBorder="1" applyAlignment="1"/>
    <xf numFmtId="10" fontId="0" fillId="0" borderId="8" xfId="0" applyNumberFormat="1" applyBorder="1" applyAlignment="1"/>
    <xf numFmtId="165" fontId="0" fillId="0" borderId="9" xfId="0" applyNumberFormat="1" applyBorder="1" applyAlignment="1"/>
    <xf numFmtId="167" fontId="0" fillId="0" borderId="1" xfId="0" applyNumberFormat="1" applyBorder="1" applyAlignment="1"/>
    <xf numFmtId="164" fontId="2" fillId="0" borderId="10" xfId="0" applyNumberFormat="1" applyFont="1" applyBorder="1" applyAlignment="1"/>
    <xf numFmtId="164" fontId="5" fillId="0" borderId="11" xfId="0" applyNumberFormat="1" applyFont="1" applyBorder="1" applyAlignment="1"/>
    <xf numFmtId="164" fontId="0" fillId="0" borderId="10" xfId="0" applyNumberFormat="1" applyBorder="1" applyAlignment="1"/>
    <xf numFmtId="164" fontId="0" fillId="0" borderId="12" xfId="0" applyNumberFormat="1" applyBorder="1" applyAlignment="1"/>
    <xf numFmtId="164" fontId="0" fillId="0" borderId="11" xfId="0" applyNumberFormat="1" applyBorder="1" applyAlignment="1"/>
    <xf numFmtId="167" fontId="0" fillId="0" borderId="4" xfId="0" applyNumberFormat="1" applyBorder="1" applyAlignment="1"/>
    <xf numFmtId="167" fontId="0" fillId="0" borderId="6" xfId="0" applyNumberFormat="1" applyBorder="1" applyAlignment="1"/>
    <xf numFmtId="167" fontId="0" fillId="0" borderId="9" xfId="0" applyNumberFormat="1" applyBorder="1" applyAlignment="1"/>
    <xf numFmtId="164" fontId="5" fillId="0" borderId="1" xfId="0" applyNumberFormat="1" applyFont="1" applyBorder="1" applyAlignment="1"/>
    <xf numFmtId="164" fontId="5" fillId="0" borderId="10" xfId="0" applyNumberFormat="1" applyFont="1" applyBorder="1" applyAlignment="1"/>
    <xf numFmtId="164" fontId="2" fillId="0" borderId="10" xfId="1" applyNumberFormat="1" applyFont="1" applyBorder="1" applyAlignment="1"/>
    <xf numFmtId="164" fontId="5" fillId="0" borderId="12" xfId="0" applyNumberFormat="1" applyFont="1" applyBorder="1" applyAlignment="1"/>
    <xf numFmtId="164" fontId="0" fillId="0" borderId="1" xfId="0" quotePrefix="1" applyNumberFormat="1" applyBorder="1" applyAlignment="1">
      <alignment horizontal="right"/>
    </xf>
    <xf numFmtId="168" fontId="0" fillId="0" borderId="1" xfId="0" applyNumberFormat="1" applyBorder="1" applyAlignment="1"/>
    <xf numFmtId="10" fontId="0" fillId="0" borderId="10" xfId="0" applyNumberFormat="1" applyBorder="1" applyAlignment="1"/>
    <xf numFmtId="10" fontId="0" fillId="0" borderId="11" xfId="0" applyNumberFormat="1" applyBorder="1" applyAlignment="1"/>
    <xf numFmtId="9" fontId="0" fillId="0" borderId="0" xfId="0" quotePrefix="1" applyNumberFormat="1" applyAlignment="1">
      <alignment horizontal="right"/>
    </xf>
    <xf numFmtId="9" fontId="0" fillId="0" borderId="0" xfId="0" applyNumberFormat="1" applyAlignment="1"/>
    <xf numFmtId="169" fontId="0" fillId="0" borderId="0" xfId="0" applyNumberFormat="1" applyAlignment="1"/>
    <xf numFmtId="0" fontId="10" fillId="0" borderId="0" xfId="0" applyFont="1" applyAlignment="1"/>
    <xf numFmtId="0" fontId="10" fillId="0" borderId="0" xfId="0" quotePrefix="1" applyFont="1" applyAlignment="1">
      <alignment horizontal="left"/>
    </xf>
    <xf numFmtId="170" fontId="0" fillId="0" borderId="0" xfId="0" applyNumberFormat="1" applyAlignment="1"/>
  </cellXfs>
  <cellStyles count="3">
    <cellStyle name="Normal" xfId="0" builtinId="0"/>
    <cellStyle name="Normal_Efficient Frontier" xfId="2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9"/>
  <sheetViews>
    <sheetView zoomScale="175" zoomScaleNormal="175" zoomScalePageLayoutView="175" workbookViewId="0">
      <selection activeCell="I12" sqref="I12"/>
    </sheetView>
  </sheetViews>
  <sheetFormatPr baseColWidth="10" defaultColWidth="8.83203125" defaultRowHeight="15" x14ac:dyDescent="0.2"/>
  <cols>
    <col min="1" max="1" width="13.5" style="2" customWidth="1"/>
    <col min="2" max="2" width="8.83203125" style="2"/>
    <col min="3" max="3" width="18.5" style="2" customWidth="1"/>
    <col min="4" max="9" width="8.83203125" style="2"/>
    <col min="10" max="10" width="42" style="2" customWidth="1"/>
    <col min="11" max="16384" width="8.83203125" style="2"/>
  </cols>
  <sheetData>
    <row r="1" spans="1:11" x14ac:dyDescent="0.2">
      <c r="A1" s="1" t="s">
        <v>39</v>
      </c>
    </row>
    <row r="2" spans="1:11" x14ac:dyDescent="0.2">
      <c r="A2" s="69" t="s">
        <v>41</v>
      </c>
    </row>
    <row r="4" spans="1:11" x14ac:dyDescent="0.2">
      <c r="A4" s="4" t="s">
        <v>0</v>
      </c>
      <c r="B4" s="5"/>
      <c r="C4" s="6" t="s">
        <v>1</v>
      </c>
      <c r="D4" s="7" t="s">
        <v>2</v>
      </c>
    </row>
    <row r="5" spans="1:11" x14ac:dyDescent="0.2">
      <c r="B5" s="8" t="s">
        <v>3</v>
      </c>
      <c r="C5" s="24">
        <v>1.4999999999999999E-2</v>
      </c>
      <c r="D5" s="24">
        <v>2.5000000000000001E-2</v>
      </c>
      <c r="G5" s="10" t="s">
        <v>4</v>
      </c>
      <c r="I5" s="24">
        <v>0.15</v>
      </c>
      <c r="J5" s="11"/>
    </row>
    <row r="6" spans="1:11" x14ac:dyDescent="0.2">
      <c r="B6" s="8" t="s">
        <v>5</v>
      </c>
      <c r="C6" s="24">
        <v>5.8000000000000003E-2</v>
      </c>
      <c r="D6" s="24">
        <v>8.6999999999999994E-2</v>
      </c>
    </row>
    <row r="7" spans="1:11" x14ac:dyDescent="0.2">
      <c r="B7" s="8" t="s">
        <v>6</v>
      </c>
      <c r="C7" s="24">
        <v>0.12</v>
      </c>
      <c r="D7" s="24">
        <v>0.186</v>
      </c>
      <c r="G7" s="3"/>
    </row>
    <row r="8" spans="1:11" x14ac:dyDescent="0.2">
      <c r="A8" s="5"/>
      <c r="B8" s="5"/>
      <c r="C8" s="12"/>
      <c r="D8" s="13"/>
      <c r="E8" s="5"/>
    </row>
    <row r="9" spans="1:11" x14ac:dyDescent="0.2">
      <c r="A9" s="14" t="s">
        <v>7</v>
      </c>
      <c r="C9" s="15" t="s">
        <v>3</v>
      </c>
      <c r="D9" s="15" t="s">
        <v>5</v>
      </c>
      <c r="E9" s="15" t="s">
        <v>6</v>
      </c>
      <c r="G9" s="1" t="s">
        <v>8</v>
      </c>
    </row>
    <row r="10" spans="1:11" x14ac:dyDescent="0.2">
      <c r="B10" s="8" t="s">
        <v>3</v>
      </c>
      <c r="C10" s="25">
        <v>1</v>
      </c>
      <c r="D10" s="26">
        <v>0.67</v>
      </c>
      <c r="E10" s="26">
        <v>0.06</v>
      </c>
      <c r="G10" s="66">
        <v>0.1</v>
      </c>
      <c r="H10" s="8" t="s">
        <v>3</v>
      </c>
      <c r="I10" s="27">
        <v>0.1</v>
      </c>
      <c r="J10" s="65">
        <v>0.3</v>
      </c>
      <c r="K10" s="66">
        <v>0.6</v>
      </c>
    </row>
    <row r="11" spans="1:11" x14ac:dyDescent="0.2">
      <c r="B11" s="8" t="s">
        <v>5</v>
      </c>
      <c r="C11" s="25">
        <f>D10</f>
        <v>0.67</v>
      </c>
      <c r="D11" s="25">
        <v>1</v>
      </c>
      <c r="E11" s="26">
        <v>0.42</v>
      </c>
      <c r="G11" s="66">
        <v>0.2</v>
      </c>
      <c r="H11" s="8" t="s">
        <v>5</v>
      </c>
      <c r="I11" s="27">
        <v>0.3</v>
      </c>
      <c r="J11" s="15"/>
    </row>
    <row r="12" spans="1:11" x14ac:dyDescent="0.2">
      <c r="B12" s="8" t="s">
        <v>6</v>
      </c>
      <c r="C12" s="25">
        <f>E10</f>
        <v>0.06</v>
      </c>
      <c r="D12" s="25">
        <f>E11</f>
        <v>0.42</v>
      </c>
      <c r="E12" s="25">
        <v>1</v>
      </c>
      <c r="G12" s="66">
        <v>0.7</v>
      </c>
      <c r="H12" s="8" t="s">
        <v>6</v>
      </c>
      <c r="I12" s="35">
        <v>0.6</v>
      </c>
    </row>
    <row r="13" spans="1:11" x14ac:dyDescent="0.2">
      <c r="A13" s="5"/>
      <c r="B13" s="5"/>
      <c r="C13" s="12"/>
      <c r="D13" s="13"/>
      <c r="E13" s="5"/>
      <c r="I13" s="16"/>
      <c r="J13" s="15"/>
    </row>
    <row r="14" spans="1:11" x14ac:dyDescent="0.2">
      <c r="A14" s="4" t="s">
        <v>9</v>
      </c>
      <c r="C14" s="15" t="s">
        <v>3</v>
      </c>
      <c r="D14" s="15" t="s">
        <v>5</v>
      </c>
      <c r="E14" s="15" t="s">
        <v>6</v>
      </c>
      <c r="I14" s="16"/>
      <c r="J14" s="2" t="s">
        <v>35</v>
      </c>
    </row>
    <row r="15" spans="1:11" x14ac:dyDescent="0.2">
      <c r="B15" s="8" t="s">
        <v>3</v>
      </c>
      <c r="C15" s="34">
        <f t="shared" ref="C15:E17" si="0">C10*VLOOKUP($B15,$B$5:$D$7,3,FALSE)*VLOOKUP(C$14,$B$5:$D$7,3,FALSE)</f>
        <v>6.2500000000000012E-4</v>
      </c>
      <c r="D15" s="34">
        <f t="shared" si="0"/>
        <v>1.45725E-3</v>
      </c>
      <c r="E15" s="34">
        <f t="shared" si="0"/>
        <v>2.7900000000000001E-4</v>
      </c>
      <c r="H15" s="2" t="s">
        <v>1</v>
      </c>
      <c r="I15" s="36">
        <f>SUMPRODUCT(C5:C7,I10:I12)</f>
        <v>9.0899999999999995E-2</v>
      </c>
      <c r="J15" s="61">
        <f>my_portfolio_return(C5:C7,I10:K10)</f>
        <v>9.0899999999999995E-2</v>
      </c>
    </row>
    <row r="16" spans="1:11" x14ac:dyDescent="0.2">
      <c r="B16" s="8" t="s">
        <v>5</v>
      </c>
      <c r="C16" s="34">
        <f t="shared" si="0"/>
        <v>1.4572500000000002E-3</v>
      </c>
      <c r="D16" s="34">
        <f t="shared" si="0"/>
        <v>7.5689999999999993E-3</v>
      </c>
      <c r="E16" s="34">
        <f t="shared" si="0"/>
        <v>6.7964399999999991E-3</v>
      </c>
      <c r="H16" s="2" t="s">
        <v>2</v>
      </c>
      <c r="I16" s="36">
        <f>SQRT(I18)</f>
        <v>0.12533815620153346</v>
      </c>
      <c r="J16" s="11">
        <f>SQRT(J18)</f>
        <v>0.12533815620153346</v>
      </c>
    </row>
    <row r="17" spans="2:10" x14ac:dyDescent="0.2">
      <c r="B17" s="8" t="s">
        <v>6</v>
      </c>
      <c r="C17" s="34">
        <f t="shared" si="0"/>
        <v>2.7900000000000001E-4</v>
      </c>
      <c r="D17" s="34">
        <f t="shared" si="0"/>
        <v>6.7964399999999991E-3</v>
      </c>
      <c r="E17" s="34">
        <f t="shared" si="0"/>
        <v>3.4596000000000002E-2</v>
      </c>
    </row>
    <row r="18" spans="2:10" x14ac:dyDescent="0.2">
      <c r="B18" s="8"/>
      <c r="C18" s="17"/>
      <c r="D18" s="17"/>
      <c r="E18" s="17"/>
      <c r="H18" s="2" t="s">
        <v>10</v>
      </c>
      <c r="I18" s="37">
        <f t="array" ref="I18">MMULT(TRANSPOSE(I10:I12),MMULT(C15:E17,I10:I12))</f>
        <v>1.5709653400000002E-2</v>
      </c>
      <c r="J18" s="62">
        <f>my_portfolio_variance(I10:I12,C15:E17)</f>
        <v>1.5709653400000002E-2</v>
      </c>
    </row>
    <row r="19" spans="2:10" x14ac:dyDescent="0.2">
      <c r="J19" s="2">
        <f>my_portfolio_variance(I10:K10,C15:E17)</f>
        <v>1.5709653400000002E-2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145" zoomScaleNormal="145" zoomScalePageLayoutView="145" workbookViewId="0">
      <selection activeCell="B13" sqref="B13"/>
    </sheetView>
  </sheetViews>
  <sheetFormatPr baseColWidth="10" defaultColWidth="8.83203125" defaultRowHeight="15" x14ac:dyDescent="0.2"/>
  <cols>
    <col min="1" max="1" width="33" style="2" customWidth="1"/>
    <col min="2" max="2" width="10.33203125" style="2" customWidth="1"/>
    <col min="3" max="6" width="8.83203125" style="2"/>
    <col min="7" max="7" width="12.6640625" style="2" bestFit="1" customWidth="1"/>
    <col min="8" max="9" width="8.83203125" style="2"/>
    <col min="10" max="10" width="10.33203125" style="2" customWidth="1"/>
    <col min="11" max="256" width="8.83203125" style="2"/>
    <col min="257" max="257" width="22.6640625" style="2" customWidth="1"/>
    <col min="258" max="258" width="10.33203125" style="2" customWidth="1"/>
    <col min="259" max="265" width="8.83203125" style="2"/>
    <col min="266" max="266" width="10.33203125" style="2" customWidth="1"/>
    <col min="267" max="512" width="8.83203125" style="2"/>
    <col min="513" max="513" width="22.6640625" style="2" customWidth="1"/>
    <col min="514" max="514" width="10.33203125" style="2" customWidth="1"/>
    <col min="515" max="521" width="8.83203125" style="2"/>
    <col min="522" max="522" width="10.33203125" style="2" customWidth="1"/>
    <col min="523" max="768" width="8.83203125" style="2"/>
    <col min="769" max="769" width="22.6640625" style="2" customWidth="1"/>
    <col min="770" max="770" width="10.33203125" style="2" customWidth="1"/>
    <col min="771" max="777" width="8.83203125" style="2"/>
    <col min="778" max="778" width="10.33203125" style="2" customWidth="1"/>
    <col min="779" max="1024" width="8.83203125" style="2"/>
    <col min="1025" max="1025" width="22.6640625" style="2" customWidth="1"/>
    <col min="1026" max="1026" width="10.33203125" style="2" customWidth="1"/>
    <col min="1027" max="1033" width="8.83203125" style="2"/>
    <col min="1034" max="1034" width="10.33203125" style="2" customWidth="1"/>
    <col min="1035" max="1280" width="8.83203125" style="2"/>
    <col min="1281" max="1281" width="22.6640625" style="2" customWidth="1"/>
    <col min="1282" max="1282" width="10.33203125" style="2" customWidth="1"/>
    <col min="1283" max="1289" width="8.83203125" style="2"/>
    <col min="1290" max="1290" width="10.33203125" style="2" customWidth="1"/>
    <col min="1291" max="1536" width="8.83203125" style="2"/>
    <col min="1537" max="1537" width="22.6640625" style="2" customWidth="1"/>
    <col min="1538" max="1538" width="10.33203125" style="2" customWidth="1"/>
    <col min="1539" max="1545" width="8.83203125" style="2"/>
    <col min="1546" max="1546" width="10.33203125" style="2" customWidth="1"/>
    <col min="1547" max="1792" width="8.83203125" style="2"/>
    <col min="1793" max="1793" width="22.6640625" style="2" customWidth="1"/>
    <col min="1794" max="1794" width="10.33203125" style="2" customWidth="1"/>
    <col min="1795" max="1801" width="8.83203125" style="2"/>
    <col min="1802" max="1802" width="10.33203125" style="2" customWidth="1"/>
    <col min="1803" max="2048" width="8.83203125" style="2"/>
    <col min="2049" max="2049" width="22.6640625" style="2" customWidth="1"/>
    <col min="2050" max="2050" width="10.33203125" style="2" customWidth="1"/>
    <col min="2051" max="2057" width="8.83203125" style="2"/>
    <col min="2058" max="2058" width="10.33203125" style="2" customWidth="1"/>
    <col min="2059" max="2304" width="8.83203125" style="2"/>
    <col min="2305" max="2305" width="22.6640625" style="2" customWidth="1"/>
    <col min="2306" max="2306" width="10.33203125" style="2" customWidth="1"/>
    <col min="2307" max="2313" width="8.83203125" style="2"/>
    <col min="2314" max="2314" width="10.33203125" style="2" customWidth="1"/>
    <col min="2315" max="2560" width="8.83203125" style="2"/>
    <col min="2561" max="2561" width="22.6640625" style="2" customWidth="1"/>
    <col min="2562" max="2562" width="10.33203125" style="2" customWidth="1"/>
    <col min="2563" max="2569" width="8.83203125" style="2"/>
    <col min="2570" max="2570" width="10.33203125" style="2" customWidth="1"/>
    <col min="2571" max="2816" width="8.83203125" style="2"/>
    <col min="2817" max="2817" width="22.6640625" style="2" customWidth="1"/>
    <col min="2818" max="2818" width="10.33203125" style="2" customWidth="1"/>
    <col min="2819" max="2825" width="8.83203125" style="2"/>
    <col min="2826" max="2826" width="10.33203125" style="2" customWidth="1"/>
    <col min="2827" max="3072" width="8.83203125" style="2"/>
    <col min="3073" max="3073" width="22.6640625" style="2" customWidth="1"/>
    <col min="3074" max="3074" width="10.33203125" style="2" customWidth="1"/>
    <col min="3075" max="3081" width="8.83203125" style="2"/>
    <col min="3082" max="3082" width="10.33203125" style="2" customWidth="1"/>
    <col min="3083" max="3328" width="8.83203125" style="2"/>
    <col min="3329" max="3329" width="22.6640625" style="2" customWidth="1"/>
    <col min="3330" max="3330" width="10.33203125" style="2" customWidth="1"/>
    <col min="3331" max="3337" width="8.83203125" style="2"/>
    <col min="3338" max="3338" width="10.33203125" style="2" customWidth="1"/>
    <col min="3339" max="3584" width="8.83203125" style="2"/>
    <col min="3585" max="3585" width="22.6640625" style="2" customWidth="1"/>
    <col min="3586" max="3586" width="10.33203125" style="2" customWidth="1"/>
    <col min="3587" max="3593" width="8.83203125" style="2"/>
    <col min="3594" max="3594" width="10.33203125" style="2" customWidth="1"/>
    <col min="3595" max="3840" width="8.83203125" style="2"/>
    <col min="3841" max="3841" width="22.6640625" style="2" customWidth="1"/>
    <col min="3842" max="3842" width="10.33203125" style="2" customWidth="1"/>
    <col min="3843" max="3849" width="8.83203125" style="2"/>
    <col min="3850" max="3850" width="10.33203125" style="2" customWidth="1"/>
    <col min="3851" max="4096" width="8.83203125" style="2"/>
    <col min="4097" max="4097" width="22.6640625" style="2" customWidth="1"/>
    <col min="4098" max="4098" width="10.33203125" style="2" customWidth="1"/>
    <col min="4099" max="4105" width="8.83203125" style="2"/>
    <col min="4106" max="4106" width="10.33203125" style="2" customWidth="1"/>
    <col min="4107" max="4352" width="8.83203125" style="2"/>
    <col min="4353" max="4353" width="22.6640625" style="2" customWidth="1"/>
    <col min="4354" max="4354" width="10.33203125" style="2" customWidth="1"/>
    <col min="4355" max="4361" width="8.83203125" style="2"/>
    <col min="4362" max="4362" width="10.33203125" style="2" customWidth="1"/>
    <col min="4363" max="4608" width="8.83203125" style="2"/>
    <col min="4609" max="4609" width="22.6640625" style="2" customWidth="1"/>
    <col min="4610" max="4610" width="10.33203125" style="2" customWidth="1"/>
    <col min="4611" max="4617" width="8.83203125" style="2"/>
    <col min="4618" max="4618" width="10.33203125" style="2" customWidth="1"/>
    <col min="4619" max="4864" width="8.83203125" style="2"/>
    <col min="4865" max="4865" width="22.6640625" style="2" customWidth="1"/>
    <col min="4866" max="4866" width="10.33203125" style="2" customWidth="1"/>
    <col min="4867" max="4873" width="8.83203125" style="2"/>
    <col min="4874" max="4874" width="10.33203125" style="2" customWidth="1"/>
    <col min="4875" max="5120" width="8.83203125" style="2"/>
    <col min="5121" max="5121" width="22.6640625" style="2" customWidth="1"/>
    <col min="5122" max="5122" width="10.33203125" style="2" customWidth="1"/>
    <col min="5123" max="5129" width="8.83203125" style="2"/>
    <col min="5130" max="5130" width="10.33203125" style="2" customWidth="1"/>
    <col min="5131" max="5376" width="8.83203125" style="2"/>
    <col min="5377" max="5377" width="22.6640625" style="2" customWidth="1"/>
    <col min="5378" max="5378" width="10.33203125" style="2" customWidth="1"/>
    <col min="5379" max="5385" width="8.83203125" style="2"/>
    <col min="5386" max="5386" width="10.33203125" style="2" customWidth="1"/>
    <col min="5387" max="5632" width="8.83203125" style="2"/>
    <col min="5633" max="5633" width="22.6640625" style="2" customWidth="1"/>
    <col min="5634" max="5634" width="10.33203125" style="2" customWidth="1"/>
    <col min="5635" max="5641" width="8.83203125" style="2"/>
    <col min="5642" max="5642" width="10.33203125" style="2" customWidth="1"/>
    <col min="5643" max="5888" width="8.83203125" style="2"/>
    <col min="5889" max="5889" width="22.6640625" style="2" customWidth="1"/>
    <col min="5890" max="5890" width="10.33203125" style="2" customWidth="1"/>
    <col min="5891" max="5897" width="8.83203125" style="2"/>
    <col min="5898" max="5898" width="10.33203125" style="2" customWidth="1"/>
    <col min="5899" max="6144" width="8.83203125" style="2"/>
    <col min="6145" max="6145" width="22.6640625" style="2" customWidth="1"/>
    <col min="6146" max="6146" width="10.33203125" style="2" customWidth="1"/>
    <col min="6147" max="6153" width="8.83203125" style="2"/>
    <col min="6154" max="6154" width="10.33203125" style="2" customWidth="1"/>
    <col min="6155" max="6400" width="8.83203125" style="2"/>
    <col min="6401" max="6401" width="22.6640625" style="2" customWidth="1"/>
    <col min="6402" max="6402" width="10.33203125" style="2" customWidth="1"/>
    <col min="6403" max="6409" width="8.83203125" style="2"/>
    <col min="6410" max="6410" width="10.33203125" style="2" customWidth="1"/>
    <col min="6411" max="6656" width="8.83203125" style="2"/>
    <col min="6657" max="6657" width="22.6640625" style="2" customWidth="1"/>
    <col min="6658" max="6658" width="10.33203125" style="2" customWidth="1"/>
    <col min="6659" max="6665" width="8.83203125" style="2"/>
    <col min="6666" max="6666" width="10.33203125" style="2" customWidth="1"/>
    <col min="6667" max="6912" width="8.83203125" style="2"/>
    <col min="6913" max="6913" width="22.6640625" style="2" customWidth="1"/>
    <col min="6914" max="6914" width="10.33203125" style="2" customWidth="1"/>
    <col min="6915" max="6921" width="8.83203125" style="2"/>
    <col min="6922" max="6922" width="10.33203125" style="2" customWidth="1"/>
    <col min="6923" max="7168" width="8.83203125" style="2"/>
    <col min="7169" max="7169" width="22.6640625" style="2" customWidth="1"/>
    <col min="7170" max="7170" width="10.33203125" style="2" customWidth="1"/>
    <col min="7171" max="7177" width="8.83203125" style="2"/>
    <col min="7178" max="7178" width="10.33203125" style="2" customWidth="1"/>
    <col min="7179" max="7424" width="8.83203125" style="2"/>
    <col min="7425" max="7425" width="22.6640625" style="2" customWidth="1"/>
    <col min="7426" max="7426" width="10.33203125" style="2" customWidth="1"/>
    <col min="7427" max="7433" width="8.83203125" style="2"/>
    <col min="7434" max="7434" width="10.33203125" style="2" customWidth="1"/>
    <col min="7435" max="7680" width="8.83203125" style="2"/>
    <col min="7681" max="7681" width="22.6640625" style="2" customWidth="1"/>
    <col min="7682" max="7682" width="10.33203125" style="2" customWidth="1"/>
    <col min="7683" max="7689" width="8.83203125" style="2"/>
    <col min="7690" max="7690" width="10.33203125" style="2" customWidth="1"/>
    <col min="7691" max="7936" width="8.83203125" style="2"/>
    <col min="7937" max="7937" width="22.6640625" style="2" customWidth="1"/>
    <col min="7938" max="7938" width="10.33203125" style="2" customWidth="1"/>
    <col min="7939" max="7945" width="8.83203125" style="2"/>
    <col min="7946" max="7946" width="10.33203125" style="2" customWidth="1"/>
    <col min="7947" max="8192" width="8.83203125" style="2"/>
    <col min="8193" max="8193" width="22.6640625" style="2" customWidth="1"/>
    <col min="8194" max="8194" width="10.33203125" style="2" customWidth="1"/>
    <col min="8195" max="8201" width="8.83203125" style="2"/>
    <col min="8202" max="8202" width="10.33203125" style="2" customWidth="1"/>
    <col min="8203" max="8448" width="8.83203125" style="2"/>
    <col min="8449" max="8449" width="22.6640625" style="2" customWidth="1"/>
    <col min="8450" max="8450" width="10.33203125" style="2" customWidth="1"/>
    <col min="8451" max="8457" width="8.83203125" style="2"/>
    <col min="8458" max="8458" width="10.33203125" style="2" customWidth="1"/>
    <col min="8459" max="8704" width="8.83203125" style="2"/>
    <col min="8705" max="8705" width="22.6640625" style="2" customWidth="1"/>
    <col min="8706" max="8706" width="10.33203125" style="2" customWidth="1"/>
    <col min="8707" max="8713" width="8.83203125" style="2"/>
    <col min="8714" max="8714" width="10.33203125" style="2" customWidth="1"/>
    <col min="8715" max="8960" width="8.83203125" style="2"/>
    <col min="8961" max="8961" width="22.6640625" style="2" customWidth="1"/>
    <col min="8962" max="8962" width="10.33203125" style="2" customWidth="1"/>
    <col min="8963" max="8969" width="8.83203125" style="2"/>
    <col min="8970" max="8970" width="10.33203125" style="2" customWidth="1"/>
    <col min="8971" max="9216" width="8.83203125" style="2"/>
    <col min="9217" max="9217" width="22.6640625" style="2" customWidth="1"/>
    <col min="9218" max="9218" width="10.33203125" style="2" customWidth="1"/>
    <col min="9219" max="9225" width="8.83203125" style="2"/>
    <col min="9226" max="9226" width="10.33203125" style="2" customWidth="1"/>
    <col min="9227" max="9472" width="8.83203125" style="2"/>
    <col min="9473" max="9473" width="22.6640625" style="2" customWidth="1"/>
    <col min="9474" max="9474" width="10.33203125" style="2" customWidth="1"/>
    <col min="9475" max="9481" width="8.83203125" style="2"/>
    <col min="9482" max="9482" width="10.33203125" style="2" customWidth="1"/>
    <col min="9483" max="9728" width="8.83203125" style="2"/>
    <col min="9729" max="9729" width="22.6640625" style="2" customWidth="1"/>
    <col min="9730" max="9730" width="10.33203125" style="2" customWidth="1"/>
    <col min="9731" max="9737" width="8.83203125" style="2"/>
    <col min="9738" max="9738" width="10.33203125" style="2" customWidth="1"/>
    <col min="9739" max="9984" width="8.83203125" style="2"/>
    <col min="9985" max="9985" width="22.6640625" style="2" customWidth="1"/>
    <col min="9986" max="9986" width="10.33203125" style="2" customWidth="1"/>
    <col min="9987" max="9993" width="8.83203125" style="2"/>
    <col min="9994" max="9994" width="10.33203125" style="2" customWidth="1"/>
    <col min="9995" max="10240" width="8.83203125" style="2"/>
    <col min="10241" max="10241" width="22.6640625" style="2" customWidth="1"/>
    <col min="10242" max="10242" width="10.33203125" style="2" customWidth="1"/>
    <col min="10243" max="10249" width="8.83203125" style="2"/>
    <col min="10250" max="10250" width="10.33203125" style="2" customWidth="1"/>
    <col min="10251" max="10496" width="8.83203125" style="2"/>
    <col min="10497" max="10497" width="22.6640625" style="2" customWidth="1"/>
    <col min="10498" max="10498" width="10.33203125" style="2" customWidth="1"/>
    <col min="10499" max="10505" width="8.83203125" style="2"/>
    <col min="10506" max="10506" width="10.33203125" style="2" customWidth="1"/>
    <col min="10507" max="10752" width="8.83203125" style="2"/>
    <col min="10753" max="10753" width="22.6640625" style="2" customWidth="1"/>
    <col min="10754" max="10754" width="10.33203125" style="2" customWidth="1"/>
    <col min="10755" max="10761" width="8.83203125" style="2"/>
    <col min="10762" max="10762" width="10.33203125" style="2" customWidth="1"/>
    <col min="10763" max="11008" width="8.83203125" style="2"/>
    <col min="11009" max="11009" width="22.6640625" style="2" customWidth="1"/>
    <col min="11010" max="11010" width="10.33203125" style="2" customWidth="1"/>
    <col min="11011" max="11017" width="8.83203125" style="2"/>
    <col min="11018" max="11018" width="10.33203125" style="2" customWidth="1"/>
    <col min="11019" max="11264" width="8.83203125" style="2"/>
    <col min="11265" max="11265" width="22.6640625" style="2" customWidth="1"/>
    <col min="11266" max="11266" width="10.33203125" style="2" customWidth="1"/>
    <col min="11267" max="11273" width="8.83203125" style="2"/>
    <col min="11274" max="11274" width="10.33203125" style="2" customWidth="1"/>
    <col min="11275" max="11520" width="8.83203125" style="2"/>
    <col min="11521" max="11521" width="22.6640625" style="2" customWidth="1"/>
    <col min="11522" max="11522" width="10.33203125" style="2" customWidth="1"/>
    <col min="11523" max="11529" width="8.83203125" style="2"/>
    <col min="11530" max="11530" width="10.33203125" style="2" customWidth="1"/>
    <col min="11531" max="11776" width="8.83203125" style="2"/>
    <col min="11777" max="11777" width="22.6640625" style="2" customWidth="1"/>
    <col min="11778" max="11778" width="10.33203125" style="2" customWidth="1"/>
    <col min="11779" max="11785" width="8.83203125" style="2"/>
    <col min="11786" max="11786" width="10.33203125" style="2" customWidth="1"/>
    <col min="11787" max="12032" width="8.83203125" style="2"/>
    <col min="12033" max="12033" width="22.6640625" style="2" customWidth="1"/>
    <col min="12034" max="12034" width="10.33203125" style="2" customWidth="1"/>
    <col min="12035" max="12041" width="8.83203125" style="2"/>
    <col min="12042" max="12042" width="10.33203125" style="2" customWidth="1"/>
    <col min="12043" max="12288" width="8.83203125" style="2"/>
    <col min="12289" max="12289" width="22.6640625" style="2" customWidth="1"/>
    <col min="12290" max="12290" width="10.33203125" style="2" customWidth="1"/>
    <col min="12291" max="12297" width="8.83203125" style="2"/>
    <col min="12298" max="12298" width="10.33203125" style="2" customWidth="1"/>
    <col min="12299" max="12544" width="8.83203125" style="2"/>
    <col min="12545" max="12545" width="22.6640625" style="2" customWidth="1"/>
    <col min="12546" max="12546" width="10.33203125" style="2" customWidth="1"/>
    <col min="12547" max="12553" width="8.83203125" style="2"/>
    <col min="12554" max="12554" width="10.33203125" style="2" customWidth="1"/>
    <col min="12555" max="12800" width="8.83203125" style="2"/>
    <col min="12801" max="12801" width="22.6640625" style="2" customWidth="1"/>
    <col min="12802" max="12802" width="10.33203125" style="2" customWidth="1"/>
    <col min="12803" max="12809" width="8.83203125" style="2"/>
    <col min="12810" max="12810" width="10.33203125" style="2" customWidth="1"/>
    <col min="12811" max="13056" width="8.83203125" style="2"/>
    <col min="13057" max="13057" width="22.6640625" style="2" customWidth="1"/>
    <col min="13058" max="13058" width="10.33203125" style="2" customWidth="1"/>
    <col min="13059" max="13065" width="8.83203125" style="2"/>
    <col min="13066" max="13066" width="10.33203125" style="2" customWidth="1"/>
    <col min="13067" max="13312" width="8.83203125" style="2"/>
    <col min="13313" max="13313" width="22.6640625" style="2" customWidth="1"/>
    <col min="13314" max="13314" width="10.33203125" style="2" customWidth="1"/>
    <col min="13315" max="13321" width="8.83203125" style="2"/>
    <col min="13322" max="13322" width="10.33203125" style="2" customWidth="1"/>
    <col min="13323" max="13568" width="8.83203125" style="2"/>
    <col min="13569" max="13569" width="22.6640625" style="2" customWidth="1"/>
    <col min="13570" max="13570" width="10.33203125" style="2" customWidth="1"/>
    <col min="13571" max="13577" width="8.83203125" style="2"/>
    <col min="13578" max="13578" width="10.33203125" style="2" customWidth="1"/>
    <col min="13579" max="13824" width="8.83203125" style="2"/>
    <col min="13825" max="13825" width="22.6640625" style="2" customWidth="1"/>
    <col min="13826" max="13826" width="10.33203125" style="2" customWidth="1"/>
    <col min="13827" max="13833" width="8.83203125" style="2"/>
    <col min="13834" max="13834" width="10.33203125" style="2" customWidth="1"/>
    <col min="13835" max="14080" width="8.83203125" style="2"/>
    <col min="14081" max="14081" width="22.6640625" style="2" customWidth="1"/>
    <col min="14082" max="14082" width="10.33203125" style="2" customWidth="1"/>
    <col min="14083" max="14089" width="8.83203125" style="2"/>
    <col min="14090" max="14090" width="10.33203125" style="2" customWidth="1"/>
    <col min="14091" max="14336" width="8.83203125" style="2"/>
    <col min="14337" max="14337" width="22.6640625" style="2" customWidth="1"/>
    <col min="14338" max="14338" width="10.33203125" style="2" customWidth="1"/>
    <col min="14339" max="14345" width="8.83203125" style="2"/>
    <col min="14346" max="14346" width="10.33203125" style="2" customWidth="1"/>
    <col min="14347" max="14592" width="8.83203125" style="2"/>
    <col min="14593" max="14593" width="22.6640625" style="2" customWidth="1"/>
    <col min="14594" max="14594" width="10.33203125" style="2" customWidth="1"/>
    <col min="14595" max="14601" width="8.83203125" style="2"/>
    <col min="14602" max="14602" width="10.33203125" style="2" customWidth="1"/>
    <col min="14603" max="14848" width="8.83203125" style="2"/>
    <col min="14849" max="14849" width="22.6640625" style="2" customWidth="1"/>
    <col min="14850" max="14850" width="10.33203125" style="2" customWidth="1"/>
    <col min="14851" max="14857" width="8.83203125" style="2"/>
    <col min="14858" max="14858" width="10.33203125" style="2" customWidth="1"/>
    <col min="14859" max="15104" width="8.83203125" style="2"/>
    <col min="15105" max="15105" width="22.6640625" style="2" customWidth="1"/>
    <col min="15106" max="15106" width="10.33203125" style="2" customWidth="1"/>
    <col min="15107" max="15113" width="8.83203125" style="2"/>
    <col min="15114" max="15114" width="10.33203125" style="2" customWidth="1"/>
    <col min="15115" max="15360" width="8.83203125" style="2"/>
    <col min="15361" max="15361" width="22.6640625" style="2" customWidth="1"/>
    <col min="15362" max="15362" width="10.33203125" style="2" customWidth="1"/>
    <col min="15363" max="15369" width="8.83203125" style="2"/>
    <col min="15370" max="15370" width="10.33203125" style="2" customWidth="1"/>
    <col min="15371" max="15616" width="8.83203125" style="2"/>
    <col min="15617" max="15617" width="22.6640625" style="2" customWidth="1"/>
    <col min="15618" max="15618" width="10.33203125" style="2" customWidth="1"/>
    <col min="15619" max="15625" width="8.83203125" style="2"/>
    <col min="15626" max="15626" width="10.33203125" style="2" customWidth="1"/>
    <col min="15627" max="15872" width="8.83203125" style="2"/>
    <col min="15873" max="15873" width="22.6640625" style="2" customWidth="1"/>
    <col min="15874" max="15874" width="10.33203125" style="2" customWidth="1"/>
    <col min="15875" max="15881" width="8.83203125" style="2"/>
    <col min="15882" max="15882" width="10.33203125" style="2" customWidth="1"/>
    <col min="15883" max="16128" width="8.83203125" style="2"/>
    <col min="16129" max="16129" width="22.6640625" style="2" customWidth="1"/>
    <col min="16130" max="16130" width="10.33203125" style="2" customWidth="1"/>
    <col min="16131" max="16137" width="8.83203125" style="2"/>
    <col min="16138" max="16138" width="10.33203125" style="2" customWidth="1"/>
    <col min="16139" max="16384" width="8.83203125" style="2"/>
  </cols>
  <sheetData>
    <row r="1" spans="1:13" x14ac:dyDescent="0.2">
      <c r="A1" s="1" t="s">
        <v>38</v>
      </c>
    </row>
    <row r="2" spans="1:13" x14ac:dyDescent="0.2">
      <c r="A2" s="68" t="s">
        <v>43</v>
      </c>
    </row>
    <row r="4" spans="1:13" x14ac:dyDescent="0.2">
      <c r="A4" s="3" t="s">
        <v>36</v>
      </c>
      <c r="F4" s="1" t="s">
        <v>11</v>
      </c>
    </row>
    <row r="5" spans="1:13" x14ac:dyDescent="0.2">
      <c r="C5" s="15" t="s">
        <v>12</v>
      </c>
      <c r="D5" s="15" t="s">
        <v>13</v>
      </c>
      <c r="E5" s="15" t="s">
        <v>14</v>
      </c>
      <c r="G5" s="26">
        <v>8</v>
      </c>
    </row>
    <row r="6" spans="1:13" x14ac:dyDescent="0.2">
      <c r="A6" s="2" t="s">
        <v>15</v>
      </c>
      <c r="C6" s="28">
        <v>1.7999999999999999E-2</v>
      </c>
      <c r="E6" s="29">
        <v>0</v>
      </c>
    </row>
    <row r="7" spans="1:13" x14ac:dyDescent="0.2">
      <c r="A7" s="19" t="s">
        <v>16</v>
      </c>
      <c r="C7" s="28">
        <v>0.08</v>
      </c>
      <c r="E7" s="28">
        <v>0.16800000000000001</v>
      </c>
    </row>
    <row r="9" spans="1:13" x14ac:dyDescent="0.2">
      <c r="B9" s="19" t="s">
        <v>17</v>
      </c>
      <c r="C9" s="30">
        <v>0</v>
      </c>
      <c r="K9" s="2" t="s">
        <v>18</v>
      </c>
    </row>
    <row r="10" spans="1:13" x14ac:dyDescent="0.2">
      <c r="K10" s="15" t="s">
        <v>14</v>
      </c>
      <c r="L10" s="15" t="s">
        <v>12</v>
      </c>
      <c r="M10" s="15" t="s">
        <v>19</v>
      </c>
    </row>
    <row r="11" spans="1:13" x14ac:dyDescent="0.2">
      <c r="A11" s="3" t="s">
        <v>20</v>
      </c>
      <c r="B11" s="15" t="s">
        <v>21</v>
      </c>
      <c r="C11" s="15" t="s">
        <v>12</v>
      </c>
      <c r="D11" s="15" t="s">
        <v>13</v>
      </c>
      <c r="E11" s="15" t="s">
        <v>14</v>
      </c>
      <c r="G11" s="15" t="s">
        <v>19</v>
      </c>
      <c r="J11" s="19" t="s">
        <v>16</v>
      </c>
      <c r="K11" s="20">
        <f>E12</f>
        <v>0.1008</v>
      </c>
      <c r="L11" s="20">
        <f>C12</f>
        <v>5.5199999999999999E-2</v>
      </c>
      <c r="M11" s="18">
        <f>G12</f>
        <v>1.4557439999999998E-2</v>
      </c>
    </row>
    <row r="12" spans="1:13" x14ac:dyDescent="0.2">
      <c r="C12" s="38">
        <f>B13*C6+B14*C7</f>
        <v>5.5199999999999999E-2</v>
      </c>
      <c r="D12" s="20"/>
      <c r="E12" s="38">
        <f>B14*E7</f>
        <v>0.1008</v>
      </c>
      <c r="G12" s="37">
        <f>C12-0.5*E12^2*G5</f>
        <v>1.4557439999999998E-2</v>
      </c>
      <c r="J12" s="16">
        <v>0</v>
      </c>
      <c r="K12" s="39">
        <f t="dataTable" ref="K12:M22" dt2D="0" dtr="0" r1="B14"/>
        <v>0</v>
      </c>
      <c r="L12" s="40">
        <v>7.1999999999999998E-3</v>
      </c>
      <c r="M12" s="41">
        <v>7.1999999999999998E-3</v>
      </c>
    </row>
    <row r="13" spans="1:13" x14ac:dyDescent="0.2">
      <c r="A13" s="2" t="s">
        <v>15</v>
      </c>
      <c r="B13" s="16">
        <v>0.4</v>
      </c>
      <c r="G13" s="67">
        <f>C12-0.5*B14^2*E7^2*G5</f>
        <v>1.4557439999999998E-2</v>
      </c>
      <c r="J13" s="16">
        <v>0.1</v>
      </c>
      <c r="K13" s="42">
        <v>1.6800000000000002E-2</v>
      </c>
      <c r="L13" s="43">
        <v>1.52E-2</v>
      </c>
      <c r="M13" s="44">
        <v>1.407104E-2</v>
      </c>
    </row>
    <row r="14" spans="1:13" x14ac:dyDescent="0.2">
      <c r="A14" s="19" t="s">
        <v>16</v>
      </c>
      <c r="B14" s="28">
        <f>1-B13</f>
        <v>0.6</v>
      </c>
      <c r="J14" s="16">
        <v>0.2</v>
      </c>
      <c r="K14" s="42">
        <v>3.3600000000000005E-2</v>
      </c>
      <c r="L14" s="43">
        <v>2.3199999999999998E-2</v>
      </c>
      <c r="M14" s="44">
        <v>1.8684159999999998E-2</v>
      </c>
    </row>
    <row r="15" spans="1:13" x14ac:dyDescent="0.2">
      <c r="J15" s="16">
        <v>0.3</v>
      </c>
      <c r="K15" s="42">
        <v>5.04E-2</v>
      </c>
      <c r="L15" s="43">
        <v>3.1199999999999999E-2</v>
      </c>
      <c r="M15" s="44">
        <v>2.103936E-2</v>
      </c>
    </row>
    <row r="16" spans="1:13" x14ac:dyDescent="0.2">
      <c r="J16" s="16">
        <v>0.4</v>
      </c>
      <c r="K16" s="42">
        <v>6.720000000000001E-2</v>
      </c>
      <c r="L16" s="43">
        <v>3.9199999999999999E-2</v>
      </c>
      <c r="M16" s="44">
        <v>2.1136639999999995E-2</v>
      </c>
    </row>
    <row r="17" spans="1:13" x14ac:dyDescent="0.2">
      <c r="A17" s="3" t="s">
        <v>22</v>
      </c>
      <c r="B17" s="15" t="s">
        <v>21</v>
      </c>
      <c r="C17" s="15" t="s">
        <v>12</v>
      </c>
      <c r="D17" s="15" t="s">
        <v>13</v>
      </c>
      <c r="E17" s="15" t="s">
        <v>14</v>
      </c>
      <c r="G17" s="15" t="s">
        <v>19</v>
      </c>
      <c r="J17" s="16">
        <v>0.5</v>
      </c>
      <c r="K17" s="42">
        <v>8.4000000000000005E-2</v>
      </c>
      <c r="L17" s="43">
        <v>4.7199999999999999E-2</v>
      </c>
      <c r="M17" s="44">
        <v>1.8975999999999996E-2</v>
      </c>
    </row>
    <row r="18" spans="1:13" x14ac:dyDescent="0.2">
      <c r="C18" s="38"/>
      <c r="E18" s="38"/>
      <c r="G18" s="37"/>
      <c r="J18" s="16">
        <v>0.6</v>
      </c>
      <c r="K18" s="42">
        <v>0.1008</v>
      </c>
      <c r="L18" s="43">
        <v>5.5199999999999999E-2</v>
      </c>
      <c r="M18" s="44">
        <v>1.4557439999999998E-2</v>
      </c>
    </row>
    <row r="19" spans="1:13" x14ac:dyDescent="0.2">
      <c r="A19" s="2" t="s">
        <v>15</v>
      </c>
      <c r="B19" s="35"/>
      <c r="J19" s="16">
        <v>0.7</v>
      </c>
      <c r="K19" s="42">
        <v>0.1176</v>
      </c>
      <c r="L19" s="43">
        <v>6.3199999999999992E-2</v>
      </c>
      <c r="M19" s="44">
        <v>7.8809599999999924E-3</v>
      </c>
    </row>
    <row r="20" spans="1:13" x14ac:dyDescent="0.2">
      <c r="A20" s="19" t="s">
        <v>16</v>
      </c>
      <c r="B20" s="36">
        <f>(C7-C6)/G5*E7^2</f>
        <v>2.1873600000000003E-4</v>
      </c>
      <c r="J20" s="16">
        <v>0.8</v>
      </c>
      <c r="K20" s="42">
        <v>0.13440000000000002</v>
      </c>
      <c r="L20" s="43">
        <v>7.1199999999999999E-2</v>
      </c>
      <c r="M20" s="44">
        <v>-1.0534400000000166E-3</v>
      </c>
    </row>
    <row r="21" spans="1:13" x14ac:dyDescent="0.2">
      <c r="A21" s="15" t="s">
        <v>23</v>
      </c>
      <c r="B21" s="35"/>
      <c r="J21" s="16">
        <v>0.9</v>
      </c>
      <c r="K21" s="42">
        <v>0.1512</v>
      </c>
      <c r="L21" s="43">
        <v>7.9200000000000007E-2</v>
      </c>
      <c r="M21" s="44">
        <v>-1.2245759999999994E-2</v>
      </c>
    </row>
    <row r="22" spans="1:13" x14ac:dyDescent="0.2">
      <c r="J22" s="16">
        <v>1</v>
      </c>
      <c r="K22" s="45">
        <v>0.16800000000000001</v>
      </c>
      <c r="L22" s="46">
        <v>8.72E-2</v>
      </c>
      <c r="M22" s="47">
        <v>-2.569600000000001E-2</v>
      </c>
    </row>
    <row r="24" spans="1:13" x14ac:dyDescent="0.2">
      <c r="J24" s="21" t="s">
        <v>24</v>
      </c>
      <c r="K24" s="15" t="s">
        <v>14</v>
      </c>
      <c r="L24" s="15" t="s">
        <v>12</v>
      </c>
      <c r="M24" s="15" t="s">
        <v>19</v>
      </c>
    </row>
    <row r="25" spans="1:13" x14ac:dyDescent="0.2">
      <c r="K25" s="20">
        <f>E18</f>
        <v>0</v>
      </c>
      <c r="L25" s="20">
        <f>C18</f>
        <v>0</v>
      </c>
      <c r="M25" s="18">
        <f>G18</f>
        <v>0</v>
      </c>
    </row>
    <row r="26" spans="1:13" x14ac:dyDescent="0.2">
      <c r="J26" s="2">
        <v>2</v>
      </c>
      <c r="K26" s="39"/>
      <c r="L26" s="40"/>
      <c r="M26" s="41"/>
    </row>
    <row r="27" spans="1:13" x14ac:dyDescent="0.2">
      <c r="J27" s="2">
        <v>2.5</v>
      </c>
      <c r="K27" s="42"/>
      <c r="L27" s="43"/>
      <c r="M27" s="44"/>
    </row>
    <row r="28" spans="1:13" x14ac:dyDescent="0.2">
      <c r="J28" s="2">
        <v>3</v>
      </c>
      <c r="K28" s="42"/>
      <c r="L28" s="43"/>
      <c r="M28" s="44"/>
    </row>
    <row r="29" spans="1:13" x14ac:dyDescent="0.2">
      <c r="J29" s="2">
        <v>3.5</v>
      </c>
      <c r="K29" s="42"/>
      <c r="L29" s="43"/>
      <c r="M29" s="44"/>
    </row>
    <row r="30" spans="1:13" x14ac:dyDescent="0.2">
      <c r="J30" s="2">
        <v>4</v>
      </c>
      <c r="K30" s="45"/>
      <c r="L30" s="46"/>
      <c r="M30" s="47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26"/>
  <sheetViews>
    <sheetView zoomScale="145" zoomScaleNormal="145" zoomScalePageLayoutView="145" workbookViewId="0">
      <selection activeCell="B23" sqref="B23"/>
    </sheetView>
  </sheetViews>
  <sheetFormatPr baseColWidth="10" defaultColWidth="8.83203125" defaultRowHeight="15" x14ac:dyDescent="0.2"/>
  <cols>
    <col min="1" max="1" width="22.6640625" style="2" customWidth="1"/>
    <col min="2" max="2" width="10.33203125" style="2" customWidth="1"/>
    <col min="3" max="256" width="8.83203125" style="2"/>
    <col min="257" max="257" width="22.6640625" style="2" customWidth="1"/>
    <col min="258" max="258" width="10.33203125" style="2" customWidth="1"/>
    <col min="259" max="512" width="8.83203125" style="2"/>
    <col min="513" max="513" width="22.6640625" style="2" customWidth="1"/>
    <col min="514" max="514" width="10.33203125" style="2" customWidth="1"/>
    <col min="515" max="768" width="8.83203125" style="2"/>
    <col min="769" max="769" width="22.6640625" style="2" customWidth="1"/>
    <col min="770" max="770" width="10.33203125" style="2" customWidth="1"/>
    <col min="771" max="1024" width="8.83203125" style="2"/>
    <col min="1025" max="1025" width="22.6640625" style="2" customWidth="1"/>
    <col min="1026" max="1026" width="10.33203125" style="2" customWidth="1"/>
    <col min="1027" max="1280" width="8.83203125" style="2"/>
    <col min="1281" max="1281" width="22.6640625" style="2" customWidth="1"/>
    <col min="1282" max="1282" width="10.33203125" style="2" customWidth="1"/>
    <col min="1283" max="1536" width="8.83203125" style="2"/>
    <col min="1537" max="1537" width="22.6640625" style="2" customWidth="1"/>
    <col min="1538" max="1538" width="10.33203125" style="2" customWidth="1"/>
    <col min="1539" max="1792" width="8.83203125" style="2"/>
    <col min="1793" max="1793" width="22.6640625" style="2" customWidth="1"/>
    <col min="1794" max="1794" width="10.33203125" style="2" customWidth="1"/>
    <col min="1795" max="2048" width="8.83203125" style="2"/>
    <col min="2049" max="2049" width="22.6640625" style="2" customWidth="1"/>
    <col min="2050" max="2050" width="10.33203125" style="2" customWidth="1"/>
    <col min="2051" max="2304" width="8.83203125" style="2"/>
    <col min="2305" max="2305" width="22.6640625" style="2" customWidth="1"/>
    <col min="2306" max="2306" width="10.33203125" style="2" customWidth="1"/>
    <col min="2307" max="2560" width="8.83203125" style="2"/>
    <col min="2561" max="2561" width="22.6640625" style="2" customWidth="1"/>
    <col min="2562" max="2562" width="10.33203125" style="2" customWidth="1"/>
    <col min="2563" max="2816" width="8.83203125" style="2"/>
    <col min="2817" max="2817" width="22.6640625" style="2" customWidth="1"/>
    <col min="2818" max="2818" width="10.33203125" style="2" customWidth="1"/>
    <col min="2819" max="3072" width="8.83203125" style="2"/>
    <col min="3073" max="3073" width="22.6640625" style="2" customWidth="1"/>
    <col min="3074" max="3074" width="10.33203125" style="2" customWidth="1"/>
    <col min="3075" max="3328" width="8.83203125" style="2"/>
    <col min="3329" max="3329" width="22.6640625" style="2" customWidth="1"/>
    <col min="3330" max="3330" width="10.33203125" style="2" customWidth="1"/>
    <col min="3331" max="3584" width="8.83203125" style="2"/>
    <col min="3585" max="3585" width="22.6640625" style="2" customWidth="1"/>
    <col min="3586" max="3586" width="10.33203125" style="2" customWidth="1"/>
    <col min="3587" max="3840" width="8.83203125" style="2"/>
    <col min="3841" max="3841" width="22.6640625" style="2" customWidth="1"/>
    <col min="3842" max="3842" width="10.33203125" style="2" customWidth="1"/>
    <col min="3843" max="4096" width="8.83203125" style="2"/>
    <col min="4097" max="4097" width="22.6640625" style="2" customWidth="1"/>
    <col min="4098" max="4098" width="10.33203125" style="2" customWidth="1"/>
    <col min="4099" max="4352" width="8.83203125" style="2"/>
    <col min="4353" max="4353" width="22.6640625" style="2" customWidth="1"/>
    <col min="4354" max="4354" width="10.33203125" style="2" customWidth="1"/>
    <col min="4355" max="4608" width="8.83203125" style="2"/>
    <col min="4609" max="4609" width="22.6640625" style="2" customWidth="1"/>
    <col min="4610" max="4610" width="10.33203125" style="2" customWidth="1"/>
    <col min="4611" max="4864" width="8.83203125" style="2"/>
    <col min="4865" max="4865" width="22.6640625" style="2" customWidth="1"/>
    <col min="4866" max="4866" width="10.33203125" style="2" customWidth="1"/>
    <col min="4867" max="5120" width="8.83203125" style="2"/>
    <col min="5121" max="5121" width="22.6640625" style="2" customWidth="1"/>
    <col min="5122" max="5122" width="10.33203125" style="2" customWidth="1"/>
    <col min="5123" max="5376" width="8.83203125" style="2"/>
    <col min="5377" max="5377" width="22.6640625" style="2" customWidth="1"/>
    <col min="5378" max="5378" width="10.33203125" style="2" customWidth="1"/>
    <col min="5379" max="5632" width="8.83203125" style="2"/>
    <col min="5633" max="5633" width="22.6640625" style="2" customWidth="1"/>
    <col min="5634" max="5634" width="10.33203125" style="2" customWidth="1"/>
    <col min="5635" max="5888" width="8.83203125" style="2"/>
    <col min="5889" max="5889" width="22.6640625" style="2" customWidth="1"/>
    <col min="5890" max="5890" width="10.33203125" style="2" customWidth="1"/>
    <col min="5891" max="6144" width="8.83203125" style="2"/>
    <col min="6145" max="6145" width="22.6640625" style="2" customWidth="1"/>
    <col min="6146" max="6146" width="10.33203125" style="2" customWidth="1"/>
    <col min="6147" max="6400" width="8.83203125" style="2"/>
    <col min="6401" max="6401" width="22.6640625" style="2" customWidth="1"/>
    <col min="6402" max="6402" width="10.33203125" style="2" customWidth="1"/>
    <col min="6403" max="6656" width="8.83203125" style="2"/>
    <col min="6657" max="6657" width="22.6640625" style="2" customWidth="1"/>
    <col min="6658" max="6658" width="10.33203125" style="2" customWidth="1"/>
    <col min="6659" max="6912" width="8.83203125" style="2"/>
    <col min="6913" max="6913" width="22.6640625" style="2" customWidth="1"/>
    <col min="6914" max="6914" width="10.33203125" style="2" customWidth="1"/>
    <col min="6915" max="7168" width="8.83203125" style="2"/>
    <col min="7169" max="7169" width="22.6640625" style="2" customWidth="1"/>
    <col min="7170" max="7170" width="10.33203125" style="2" customWidth="1"/>
    <col min="7171" max="7424" width="8.83203125" style="2"/>
    <col min="7425" max="7425" width="22.6640625" style="2" customWidth="1"/>
    <col min="7426" max="7426" width="10.33203125" style="2" customWidth="1"/>
    <col min="7427" max="7680" width="8.83203125" style="2"/>
    <col min="7681" max="7681" width="22.6640625" style="2" customWidth="1"/>
    <col min="7682" max="7682" width="10.33203125" style="2" customWidth="1"/>
    <col min="7683" max="7936" width="8.83203125" style="2"/>
    <col min="7937" max="7937" width="22.6640625" style="2" customWidth="1"/>
    <col min="7938" max="7938" width="10.33203125" style="2" customWidth="1"/>
    <col min="7939" max="8192" width="8.83203125" style="2"/>
    <col min="8193" max="8193" width="22.6640625" style="2" customWidth="1"/>
    <col min="8194" max="8194" width="10.33203125" style="2" customWidth="1"/>
    <col min="8195" max="8448" width="8.83203125" style="2"/>
    <col min="8449" max="8449" width="22.6640625" style="2" customWidth="1"/>
    <col min="8450" max="8450" width="10.33203125" style="2" customWidth="1"/>
    <col min="8451" max="8704" width="8.83203125" style="2"/>
    <col min="8705" max="8705" width="22.6640625" style="2" customWidth="1"/>
    <col min="8706" max="8706" width="10.33203125" style="2" customWidth="1"/>
    <col min="8707" max="8960" width="8.83203125" style="2"/>
    <col min="8961" max="8961" width="22.6640625" style="2" customWidth="1"/>
    <col min="8962" max="8962" width="10.33203125" style="2" customWidth="1"/>
    <col min="8963" max="9216" width="8.83203125" style="2"/>
    <col min="9217" max="9217" width="22.6640625" style="2" customWidth="1"/>
    <col min="9218" max="9218" width="10.33203125" style="2" customWidth="1"/>
    <col min="9219" max="9472" width="8.83203125" style="2"/>
    <col min="9473" max="9473" width="22.6640625" style="2" customWidth="1"/>
    <col min="9474" max="9474" width="10.33203125" style="2" customWidth="1"/>
    <col min="9475" max="9728" width="8.83203125" style="2"/>
    <col min="9729" max="9729" width="22.6640625" style="2" customWidth="1"/>
    <col min="9730" max="9730" width="10.33203125" style="2" customWidth="1"/>
    <col min="9731" max="9984" width="8.83203125" style="2"/>
    <col min="9985" max="9985" width="22.6640625" style="2" customWidth="1"/>
    <col min="9986" max="9986" width="10.33203125" style="2" customWidth="1"/>
    <col min="9987" max="10240" width="8.83203125" style="2"/>
    <col min="10241" max="10241" width="22.6640625" style="2" customWidth="1"/>
    <col min="10242" max="10242" width="10.33203125" style="2" customWidth="1"/>
    <col min="10243" max="10496" width="8.83203125" style="2"/>
    <col min="10497" max="10497" width="22.6640625" style="2" customWidth="1"/>
    <col min="10498" max="10498" width="10.33203125" style="2" customWidth="1"/>
    <col min="10499" max="10752" width="8.83203125" style="2"/>
    <col min="10753" max="10753" width="22.6640625" style="2" customWidth="1"/>
    <col min="10754" max="10754" width="10.33203125" style="2" customWidth="1"/>
    <col min="10755" max="11008" width="8.83203125" style="2"/>
    <col min="11009" max="11009" width="22.6640625" style="2" customWidth="1"/>
    <col min="11010" max="11010" width="10.33203125" style="2" customWidth="1"/>
    <col min="11011" max="11264" width="8.83203125" style="2"/>
    <col min="11265" max="11265" width="22.6640625" style="2" customWidth="1"/>
    <col min="11266" max="11266" width="10.33203125" style="2" customWidth="1"/>
    <col min="11267" max="11520" width="8.83203125" style="2"/>
    <col min="11521" max="11521" width="22.6640625" style="2" customWidth="1"/>
    <col min="11522" max="11522" width="10.33203125" style="2" customWidth="1"/>
    <col min="11523" max="11776" width="8.83203125" style="2"/>
    <col min="11777" max="11777" width="22.6640625" style="2" customWidth="1"/>
    <col min="11778" max="11778" width="10.33203125" style="2" customWidth="1"/>
    <col min="11779" max="12032" width="8.83203125" style="2"/>
    <col min="12033" max="12033" width="22.6640625" style="2" customWidth="1"/>
    <col min="12034" max="12034" width="10.33203125" style="2" customWidth="1"/>
    <col min="12035" max="12288" width="8.83203125" style="2"/>
    <col min="12289" max="12289" width="22.6640625" style="2" customWidth="1"/>
    <col min="12290" max="12290" width="10.33203125" style="2" customWidth="1"/>
    <col min="12291" max="12544" width="8.83203125" style="2"/>
    <col min="12545" max="12545" width="22.6640625" style="2" customWidth="1"/>
    <col min="12546" max="12546" width="10.33203125" style="2" customWidth="1"/>
    <col min="12547" max="12800" width="8.83203125" style="2"/>
    <col min="12801" max="12801" width="22.6640625" style="2" customWidth="1"/>
    <col min="12802" max="12802" width="10.33203125" style="2" customWidth="1"/>
    <col min="12803" max="13056" width="8.83203125" style="2"/>
    <col min="13057" max="13057" width="22.6640625" style="2" customWidth="1"/>
    <col min="13058" max="13058" width="10.33203125" style="2" customWidth="1"/>
    <col min="13059" max="13312" width="8.83203125" style="2"/>
    <col min="13313" max="13313" width="22.6640625" style="2" customWidth="1"/>
    <col min="13314" max="13314" width="10.33203125" style="2" customWidth="1"/>
    <col min="13315" max="13568" width="8.83203125" style="2"/>
    <col min="13569" max="13569" width="22.6640625" style="2" customWidth="1"/>
    <col min="13570" max="13570" width="10.33203125" style="2" customWidth="1"/>
    <col min="13571" max="13824" width="8.83203125" style="2"/>
    <col min="13825" max="13825" width="22.6640625" style="2" customWidth="1"/>
    <col min="13826" max="13826" width="10.33203125" style="2" customWidth="1"/>
    <col min="13827" max="14080" width="8.83203125" style="2"/>
    <col min="14081" max="14081" width="22.6640625" style="2" customWidth="1"/>
    <col min="14082" max="14082" width="10.33203125" style="2" customWidth="1"/>
    <col min="14083" max="14336" width="8.83203125" style="2"/>
    <col min="14337" max="14337" width="22.6640625" style="2" customWidth="1"/>
    <col min="14338" max="14338" width="10.33203125" style="2" customWidth="1"/>
    <col min="14339" max="14592" width="8.83203125" style="2"/>
    <col min="14593" max="14593" width="22.6640625" style="2" customWidth="1"/>
    <col min="14594" max="14594" width="10.33203125" style="2" customWidth="1"/>
    <col min="14595" max="14848" width="8.83203125" style="2"/>
    <col min="14849" max="14849" width="22.6640625" style="2" customWidth="1"/>
    <col min="14850" max="14850" width="10.33203125" style="2" customWidth="1"/>
    <col min="14851" max="15104" width="8.83203125" style="2"/>
    <col min="15105" max="15105" width="22.6640625" style="2" customWidth="1"/>
    <col min="15106" max="15106" width="10.33203125" style="2" customWidth="1"/>
    <col min="15107" max="15360" width="8.83203125" style="2"/>
    <col min="15361" max="15361" width="22.6640625" style="2" customWidth="1"/>
    <col min="15362" max="15362" width="10.33203125" style="2" customWidth="1"/>
    <col min="15363" max="15616" width="8.83203125" style="2"/>
    <col min="15617" max="15617" width="22.6640625" style="2" customWidth="1"/>
    <col min="15618" max="15618" width="10.33203125" style="2" customWidth="1"/>
    <col min="15619" max="15872" width="8.83203125" style="2"/>
    <col min="15873" max="15873" width="22.6640625" style="2" customWidth="1"/>
    <col min="15874" max="15874" width="10.33203125" style="2" customWidth="1"/>
    <col min="15875" max="16128" width="8.83203125" style="2"/>
    <col min="16129" max="16129" width="22.6640625" style="2" customWidth="1"/>
    <col min="16130" max="16130" width="10.33203125" style="2" customWidth="1"/>
    <col min="16131" max="16384" width="8.83203125" style="2"/>
  </cols>
  <sheetData>
    <row r="1" spans="1:17" x14ac:dyDescent="0.2">
      <c r="A1" s="1" t="s">
        <v>39</v>
      </c>
      <c r="L1" s="19" t="s">
        <v>16</v>
      </c>
    </row>
    <row r="2" spans="1:17" x14ac:dyDescent="0.2">
      <c r="A2" s="68" t="s">
        <v>42</v>
      </c>
      <c r="K2" s="1" t="s">
        <v>11</v>
      </c>
      <c r="L2" s="16">
        <f>B23</f>
        <v>0.72412631321020537</v>
      </c>
    </row>
    <row r="3" spans="1:17" x14ac:dyDescent="0.2">
      <c r="K3" s="22">
        <v>0.5</v>
      </c>
      <c r="L3" s="51">
        <v>-2.2731698496757629</v>
      </c>
    </row>
    <row r="4" spans="1:17" x14ac:dyDescent="0.2">
      <c r="A4" s="3" t="s">
        <v>37</v>
      </c>
      <c r="F4" s="1" t="s">
        <v>11</v>
      </c>
      <c r="K4" s="22">
        <v>1</v>
      </c>
      <c r="L4" s="52">
        <v>-0.69787485856590625</v>
      </c>
    </row>
    <row r="5" spans="1:17" x14ac:dyDescent="0.2">
      <c r="C5" s="15" t="s">
        <v>12</v>
      </c>
      <c r="D5" s="15" t="s">
        <v>13</v>
      </c>
      <c r="E5" s="15" t="s">
        <v>14</v>
      </c>
      <c r="G5" s="26">
        <v>6</v>
      </c>
      <c r="K5" s="22">
        <v>1.5</v>
      </c>
      <c r="L5" s="52">
        <v>-0.17277652819595413</v>
      </c>
    </row>
    <row r="6" spans="1:17" x14ac:dyDescent="0.2">
      <c r="A6" s="19" t="s">
        <v>25</v>
      </c>
      <c r="C6" s="24">
        <v>0.04</v>
      </c>
      <c r="E6" s="24">
        <v>0.08</v>
      </c>
      <c r="K6" s="22">
        <v>2</v>
      </c>
      <c r="L6" s="52">
        <v>8.9772636989022159E-2</v>
      </c>
    </row>
    <row r="7" spans="1:17" x14ac:dyDescent="0.2">
      <c r="A7" s="2" t="s">
        <v>26</v>
      </c>
      <c r="C7" s="24">
        <v>0.08</v>
      </c>
      <c r="E7" s="24">
        <v>0.188</v>
      </c>
      <c r="K7" s="22">
        <v>2.5</v>
      </c>
      <c r="L7" s="52">
        <v>0.24730213610000784</v>
      </c>
    </row>
    <row r="8" spans="1:17" x14ac:dyDescent="0.2">
      <c r="B8" s="19" t="s">
        <v>27</v>
      </c>
      <c r="C8" s="26">
        <v>0.23</v>
      </c>
      <c r="G8" s="9"/>
      <c r="H8" s="9"/>
      <c r="K8" s="22">
        <v>3</v>
      </c>
      <c r="L8" s="52">
        <v>0.35232180217399822</v>
      </c>
    </row>
    <row r="9" spans="1:17" x14ac:dyDescent="0.2">
      <c r="B9" s="19" t="s">
        <v>28</v>
      </c>
      <c r="C9" s="48">
        <f>C8*E6*E7</f>
        <v>3.4591999999999999E-3</v>
      </c>
      <c r="G9" s="9"/>
      <c r="H9" s="9"/>
      <c r="K9" s="22">
        <v>3.5</v>
      </c>
      <c r="L9" s="52">
        <v>0.42733584936970581</v>
      </c>
    </row>
    <row r="10" spans="1:17" x14ac:dyDescent="0.2">
      <c r="K10" s="22">
        <v>4</v>
      </c>
      <c r="L10" s="52">
        <v>0.48359638476648636</v>
      </c>
    </row>
    <row r="11" spans="1:17" x14ac:dyDescent="0.2">
      <c r="A11" s="3" t="s">
        <v>29</v>
      </c>
      <c r="B11" s="15" t="s">
        <v>21</v>
      </c>
      <c r="C11" s="15" t="s">
        <v>12</v>
      </c>
      <c r="D11" s="15" t="s">
        <v>13</v>
      </c>
      <c r="E11" s="15" t="s">
        <v>14</v>
      </c>
      <c r="G11" s="15" t="s">
        <v>19</v>
      </c>
      <c r="K11" s="22">
        <v>4.5</v>
      </c>
      <c r="L11" s="52">
        <v>0.52735457896398241</v>
      </c>
    </row>
    <row r="12" spans="1:17" x14ac:dyDescent="0.2">
      <c r="C12" s="38">
        <f>B13*$C$6+B14*$C$7</f>
        <v>6.4000000000000001E-2</v>
      </c>
      <c r="D12" s="20"/>
      <c r="E12" s="38">
        <f>SQRT((B13*$E$6)^2+(B14*$E$7)^2+2*B13*B14*$C$9)</f>
        <v>0.12412999637476833</v>
      </c>
      <c r="G12" s="37">
        <f>C12-0.5*$G$5*E12^2</f>
        <v>1.7775232000000002E-2</v>
      </c>
      <c r="K12" s="22">
        <v>5</v>
      </c>
      <c r="L12" s="53">
        <v>0.56236113432197921</v>
      </c>
    </row>
    <row r="13" spans="1:17" x14ac:dyDescent="0.2">
      <c r="A13" s="19" t="s">
        <v>16</v>
      </c>
      <c r="B13" s="28">
        <v>0.4</v>
      </c>
      <c r="K13" s="2" t="s">
        <v>30</v>
      </c>
    </row>
    <row r="14" spans="1:17" x14ac:dyDescent="0.2">
      <c r="A14" s="2" t="s">
        <v>31</v>
      </c>
      <c r="B14" s="57">
        <f>1-B13</f>
        <v>0.6</v>
      </c>
      <c r="K14" s="15" t="s">
        <v>14</v>
      </c>
      <c r="L14" s="15" t="s">
        <v>12</v>
      </c>
      <c r="M14" s="15" t="s">
        <v>19</v>
      </c>
    </row>
    <row r="15" spans="1:17" x14ac:dyDescent="0.2">
      <c r="J15" s="19" t="s">
        <v>16</v>
      </c>
      <c r="K15" s="20">
        <f>E12</f>
        <v>0.12412999637476833</v>
      </c>
      <c r="L15" s="20">
        <f>C12</f>
        <v>6.4000000000000001E-2</v>
      </c>
      <c r="M15" s="23">
        <f>G12</f>
        <v>1.7775232000000002E-2</v>
      </c>
      <c r="N15" s="16"/>
      <c r="O15" s="20"/>
      <c r="P15" s="20"/>
      <c r="Q15" s="23"/>
    </row>
    <row r="16" spans="1:17" x14ac:dyDescent="0.2">
      <c r="A16" s="3" t="s">
        <v>32</v>
      </c>
      <c r="B16" s="15" t="s">
        <v>21</v>
      </c>
      <c r="C16" s="15" t="s">
        <v>12</v>
      </c>
      <c r="D16" s="15" t="s">
        <v>13</v>
      </c>
      <c r="E16" s="15" t="s">
        <v>14</v>
      </c>
      <c r="G16" s="15" t="s">
        <v>19</v>
      </c>
      <c r="J16" s="16">
        <v>0</v>
      </c>
      <c r="K16" s="39">
        <v>0.20799999999999999</v>
      </c>
      <c r="L16" s="40">
        <v>0.09</v>
      </c>
      <c r="M16" s="54">
        <v>2.5104000000000001E-2</v>
      </c>
      <c r="N16" s="16"/>
      <c r="O16" s="20"/>
      <c r="P16" s="20"/>
      <c r="Q16" s="23"/>
    </row>
    <row r="17" spans="1:17" x14ac:dyDescent="0.2">
      <c r="C17" s="38">
        <f>B18*$C$6+B19*$C$7</f>
        <v>4.3377745107047692E-2</v>
      </c>
      <c r="E17" s="38">
        <f>SQRT((B18*$E$6)^2+(B19*$E$7)^2+2*B18*B19*$C$9)</f>
        <v>7.8432570911132662E-2</v>
      </c>
      <c r="G17" s="48">
        <f>C17-0.5*$G$5*E17^2</f>
        <v>2.4922740567858134E-2</v>
      </c>
      <c r="J17" s="16">
        <v>0.1</v>
      </c>
      <c r="K17" s="42">
        <v>0.18977771523548281</v>
      </c>
      <c r="L17" s="43">
        <v>8.3100000000000007E-2</v>
      </c>
      <c r="M17" s="55">
        <v>2.9076628199999996E-2</v>
      </c>
      <c r="N17" s="16"/>
      <c r="O17" s="20"/>
      <c r="P17" s="20"/>
      <c r="Q17" s="23"/>
    </row>
    <row r="18" spans="1:17" x14ac:dyDescent="0.2">
      <c r="A18" s="19" t="s">
        <v>16</v>
      </c>
      <c r="B18" s="49">
        <f>(E7^2-C9)/(E6^2+E7^2-2*C9)</f>
        <v>0.9155563723238076</v>
      </c>
      <c r="J18" s="16">
        <v>0.2</v>
      </c>
      <c r="K18" s="42">
        <v>0.17217197449062377</v>
      </c>
      <c r="L18" s="43">
        <v>7.619999999999999E-2</v>
      </c>
      <c r="M18" s="55">
        <v>3.1735216799999987E-2</v>
      </c>
      <c r="N18" s="16"/>
      <c r="O18" s="20"/>
      <c r="P18" s="20"/>
      <c r="Q18" s="23"/>
    </row>
    <row r="19" spans="1:17" x14ac:dyDescent="0.2">
      <c r="A19" s="2" t="s">
        <v>31</v>
      </c>
      <c r="B19" s="50">
        <f>1-B18</f>
        <v>8.4443627676192401E-2</v>
      </c>
      <c r="J19" s="16">
        <v>0.3</v>
      </c>
      <c r="K19" s="42">
        <v>0.15539247986952262</v>
      </c>
      <c r="L19" s="43">
        <v>6.93E-2</v>
      </c>
      <c r="M19" s="55">
        <v>3.3079765800000015E-2</v>
      </c>
      <c r="N19" s="16"/>
      <c r="O19" s="20"/>
      <c r="P19" s="20"/>
      <c r="Q19" s="23"/>
    </row>
    <row r="20" spans="1:17" x14ac:dyDescent="0.2">
      <c r="J20" s="16">
        <v>0.4</v>
      </c>
      <c r="K20" s="42">
        <v>0.13973719333090959</v>
      </c>
      <c r="L20" s="43">
        <v>6.2399999999999997E-2</v>
      </c>
      <c r="M20" s="55">
        <v>3.311027519999999E-2</v>
      </c>
      <c r="N20" s="16"/>
      <c r="O20" s="20"/>
      <c r="P20" s="20"/>
      <c r="Q20" s="23"/>
    </row>
    <row r="21" spans="1:17" x14ac:dyDescent="0.2">
      <c r="A21" s="3" t="s">
        <v>33</v>
      </c>
      <c r="B21" s="15" t="s">
        <v>21</v>
      </c>
      <c r="C21" s="15" t="s">
        <v>12</v>
      </c>
      <c r="D21" s="15" t="s">
        <v>13</v>
      </c>
      <c r="E21" s="15" t="s">
        <v>14</v>
      </c>
      <c r="G21" s="15" t="s">
        <v>19</v>
      </c>
      <c r="J21" s="16">
        <v>0.5</v>
      </c>
      <c r="K21" s="42">
        <v>0.12562710694750556</v>
      </c>
      <c r="L21" s="43">
        <v>5.5500000000000001E-2</v>
      </c>
      <c r="M21" s="55">
        <v>3.1826744999999997E-2</v>
      </c>
      <c r="N21" s="16"/>
      <c r="O21" s="20"/>
      <c r="P21" s="20"/>
      <c r="Q21" s="23"/>
    </row>
    <row r="22" spans="1:17" x14ac:dyDescent="0.2">
      <c r="C22" s="38">
        <f>B23*$C$6+B24*$C$7</f>
        <v>5.1034947471591784E-2</v>
      </c>
      <c r="E22" s="38">
        <f>SQRT((B23*$E$6)^2+(B24*$E$7)^2+2*B23*B24*$C$9)</f>
        <v>8.6185083244262967E-2</v>
      </c>
      <c r="G22" s="48">
        <f>C22-0.5*$G$5*E22^2</f>
        <v>2.8751341750130173E-2</v>
      </c>
      <c r="J22" s="16">
        <v>0.6</v>
      </c>
      <c r="K22" s="42">
        <v>0.11363926786106993</v>
      </c>
      <c r="L22" s="43">
        <v>4.8599999999999997E-2</v>
      </c>
      <c r="M22" s="55">
        <v>2.9229175199999999E-2</v>
      </c>
      <c r="N22" s="16"/>
      <c r="O22" s="20"/>
      <c r="P22" s="20"/>
      <c r="Q22" s="23"/>
    </row>
    <row r="23" spans="1:17" x14ac:dyDescent="0.2">
      <c r="A23" s="19" t="s">
        <v>16</v>
      </c>
      <c r="B23" s="49">
        <f>B18+(C6-C7)/(G5*(E6^2+E7^2-2*C9))</f>
        <v>0.72412631321020537</v>
      </c>
      <c r="C23" s="2">
        <f>(C6-C7+E7^2*G5-C9*G5)/((E6^2+E7^2-2*C9)*G5)</f>
        <v>0.72412631321020537</v>
      </c>
      <c r="J23" s="16">
        <v>0.7</v>
      </c>
      <c r="K23" s="42">
        <v>0.10450656821463425</v>
      </c>
      <c r="L23" s="43">
        <v>4.1700000000000001E-2</v>
      </c>
      <c r="M23" s="55">
        <v>2.53175658E-2</v>
      </c>
      <c r="N23" s="16"/>
      <c r="O23" s="20"/>
      <c r="P23" s="20"/>
      <c r="Q23" s="23"/>
    </row>
    <row r="24" spans="1:17" x14ac:dyDescent="0.2">
      <c r="A24" s="2" t="s">
        <v>31</v>
      </c>
      <c r="B24" s="50">
        <f>1-B23</f>
        <v>0.27587368678979463</v>
      </c>
      <c r="C24" s="2">
        <f>1-C23</f>
        <v>0.27587368678979463</v>
      </c>
      <c r="J24" s="16">
        <v>0.8</v>
      </c>
      <c r="K24" s="42">
        <v>9.9022163175725472E-2</v>
      </c>
      <c r="L24" s="43">
        <v>3.4799999999999998E-2</v>
      </c>
      <c r="M24" s="55">
        <v>2.0091916799999995E-2</v>
      </c>
      <c r="N24" s="16"/>
      <c r="O24" s="20"/>
      <c r="P24" s="20"/>
      <c r="Q24" s="23"/>
    </row>
    <row r="25" spans="1:17" x14ac:dyDescent="0.2">
      <c r="B25" s="2">
        <f>twoassets2(C6,C7,0,E6,E7,C8,G5)</f>
        <v>0.72412631321020537</v>
      </c>
      <c r="J25" s="16">
        <v>0.9</v>
      </c>
      <c r="K25" s="42">
        <v>9.7801744360721921E-2</v>
      </c>
      <c r="L25" s="43">
        <v>2.7899999999999998E-2</v>
      </c>
      <c r="M25" s="55">
        <v>1.3552228199999995E-2</v>
      </c>
      <c r="N25" s="16"/>
      <c r="O25" s="20"/>
      <c r="P25" s="20"/>
      <c r="Q25" s="23"/>
    </row>
    <row r="26" spans="1:17" x14ac:dyDescent="0.2">
      <c r="J26" s="16">
        <v>1</v>
      </c>
      <c r="K26" s="45">
        <v>0.10100000000000001</v>
      </c>
      <c r="L26" s="46">
        <v>2.1000000000000001E-2</v>
      </c>
      <c r="M26" s="56">
        <v>5.6984999999999987E-3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68"/>
  <sheetViews>
    <sheetView tabSelected="1" zoomScale="160" zoomScaleNormal="160" zoomScalePageLayoutView="160" workbookViewId="0">
      <selection activeCell="E41" sqref="E41"/>
    </sheetView>
  </sheetViews>
  <sheetFormatPr baseColWidth="10" defaultColWidth="8.83203125" defaultRowHeight="15" x14ac:dyDescent="0.2"/>
  <cols>
    <col min="1" max="1" width="42.6640625" style="2" customWidth="1"/>
    <col min="2" max="2" width="14.33203125" style="2" customWidth="1"/>
    <col min="3" max="3" width="21.6640625" style="2" bestFit="1" customWidth="1"/>
    <col min="4" max="256" width="8.83203125" style="2"/>
    <col min="257" max="257" width="23" style="2" customWidth="1"/>
    <col min="258" max="258" width="10.33203125" style="2" customWidth="1"/>
    <col min="259" max="512" width="8.83203125" style="2"/>
    <col min="513" max="513" width="23" style="2" customWidth="1"/>
    <col min="514" max="514" width="10.33203125" style="2" customWidth="1"/>
    <col min="515" max="768" width="8.83203125" style="2"/>
    <col min="769" max="769" width="23" style="2" customWidth="1"/>
    <col min="770" max="770" width="10.33203125" style="2" customWidth="1"/>
    <col min="771" max="1024" width="8.83203125" style="2"/>
    <col min="1025" max="1025" width="23" style="2" customWidth="1"/>
    <col min="1026" max="1026" width="10.33203125" style="2" customWidth="1"/>
    <col min="1027" max="1280" width="8.83203125" style="2"/>
    <col min="1281" max="1281" width="23" style="2" customWidth="1"/>
    <col min="1282" max="1282" width="10.33203125" style="2" customWidth="1"/>
    <col min="1283" max="1536" width="8.83203125" style="2"/>
    <col min="1537" max="1537" width="23" style="2" customWidth="1"/>
    <col min="1538" max="1538" width="10.33203125" style="2" customWidth="1"/>
    <col min="1539" max="1792" width="8.83203125" style="2"/>
    <col min="1793" max="1793" width="23" style="2" customWidth="1"/>
    <col min="1794" max="1794" width="10.33203125" style="2" customWidth="1"/>
    <col min="1795" max="2048" width="8.83203125" style="2"/>
    <col min="2049" max="2049" width="23" style="2" customWidth="1"/>
    <col min="2050" max="2050" width="10.33203125" style="2" customWidth="1"/>
    <col min="2051" max="2304" width="8.83203125" style="2"/>
    <col min="2305" max="2305" width="23" style="2" customWidth="1"/>
    <col min="2306" max="2306" width="10.33203125" style="2" customWidth="1"/>
    <col min="2307" max="2560" width="8.83203125" style="2"/>
    <col min="2561" max="2561" width="23" style="2" customWidth="1"/>
    <col min="2562" max="2562" width="10.33203125" style="2" customWidth="1"/>
    <col min="2563" max="2816" width="8.83203125" style="2"/>
    <col min="2817" max="2817" width="23" style="2" customWidth="1"/>
    <col min="2818" max="2818" width="10.33203125" style="2" customWidth="1"/>
    <col min="2819" max="3072" width="8.83203125" style="2"/>
    <col min="3073" max="3073" width="23" style="2" customWidth="1"/>
    <col min="3074" max="3074" width="10.33203125" style="2" customWidth="1"/>
    <col min="3075" max="3328" width="8.83203125" style="2"/>
    <col min="3329" max="3329" width="23" style="2" customWidth="1"/>
    <col min="3330" max="3330" width="10.33203125" style="2" customWidth="1"/>
    <col min="3331" max="3584" width="8.83203125" style="2"/>
    <col min="3585" max="3585" width="23" style="2" customWidth="1"/>
    <col min="3586" max="3586" width="10.33203125" style="2" customWidth="1"/>
    <col min="3587" max="3840" width="8.83203125" style="2"/>
    <col min="3841" max="3841" width="23" style="2" customWidth="1"/>
    <col min="3842" max="3842" width="10.33203125" style="2" customWidth="1"/>
    <col min="3843" max="4096" width="8.83203125" style="2"/>
    <col min="4097" max="4097" width="23" style="2" customWidth="1"/>
    <col min="4098" max="4098" width="10.33203125" style="2" customWidth="1"/>
    <col min="4099" max="4352" width="8.83203125" style="2"/>
    <col min="4353" max="4353" width="23" style="2" customWidth="1"/>
    <col min="4354" max="4354" width="10.33203125" style="2" customWidth="1"/>
    <col min="4355" max="4608" width="8.83203125" style="2"/>
    <col min="4609" max="4609" width="23" style="2" customWidth="1"/>
    <col min="4610" max="4610" width="10.33203125" style="2" customWidth="1"/>
    <col min="4611" max="4864" width="8.83203125" style="2"/>
    <col min="4865" max="4865" width="23" style="2" customWidth="1"/>
    <col min="4866" max="4866" width="10.33203125" style="2" customWidth="1"/>
    <col min="4867" max="5120" width="8.83203125" style="2"/>
    <col min="5121" max="5121" width="23" style="2" customWidth="1"/>
    <col min="5122" max="5122" width="10.33203125" style="2" customWidth="1"/>
    <col min="5123" max="5376" width="8.83203125" style="2"/>
    <col min="5377" max="5377" width="23" style="2" customWidth="1"/>
    <col min="5378" max="5378" width="10.33203125" style="2" customWidth="1"/>
    <col min="5379" max="5632" width="8.83203125" style="2"/>
    <col min="5633" max="5633" width="23" style="2" customWidth="1"/>
    <col min="5634" max="5634" width="10.33203125" style="2" customWidth="1"/>
    <col min="5635" max="5888" width="8.83203125" style="2"/>
    <col min="5889" max="5889" width="23" style="2" customWidth="1"/>
    <col min="5890" max="5890" width="10.33203125" style="2" customWidth="1"/>
    <col min="5891" max="6144" width="8.83203125" style="2"/>
    <col min="6145" max="6145" width="23" style="2" customWidth="1"/>
    <col min="6146" max="6146" width="10.33203125" style="2" customWidth="1"/>
    <col min="6147" max="6400" width="8.83203125" style="2"/>
    <col min="6401" max="6401" width="23" style="2" customWidth="1"/>
    <col min="6402" max="6402" width="10.33203125" style="2" customWidth="1"/>
    <col min="6403" max="6656" width="8.83203125" style="2"/>
    <col min="6657" max="6657" width="23" style="2" customWidth="1"/>
    <col min="6658" max="6658" width="10.33203125" style="2" customWidth="1"/>
    <col min="6659" max="6912" width="8.83203125" style="2"/>
    <col min="6913" max="6913" width="23" style="2" customWidth="1"/>
    <col min="6914" max="6914" width="10.33203125" style="2" customWidth="1"/>
    <col min="6915" max="7168" width="8.83203125" style="2"/>
    <col min="7169" max="7169" width="23" style="2" customWidth="1"/>
    <col min="7170" max="7170" width="10.33203125" style="2" customWidth="1"/>
    <col min="7171" max="7424" width="8.83203125" style="2"/>
    <col min="7425" max="7425" width="23" style="2" customWidth="1"/>
    <col min="7426" max="7426" width="10.33203125" style="2" customWidth="1"/>
    <col min="7427" max="7680" width="8.83203125" style="2"/>
    <col min="7681" max="7681" width="23" style="2" customWidth="1"/>
    <col min="7682" max="7682" width="10.33203125" style="2" customWidth="1"/>
    <col min="7683" max="7936" width="8.83203125" style="2"/>
    <col min="7937" max="7937" width="23" style="2" customWidth="1"/>
    <col min="7938" max="7938" width="10.33203125" style="2" customWidth="1"/>
    <col min="7939" max="8192" width="8.83203125" style="2"/>
    <col min="8193" max="8193" width="23" style="2" customWidth="1"/>
    <col min="8194" max="8194" width="10.33203125" style="2" customWidth="1"/>
    <col min="8195" max="8448" width="8.83203125" style="2"/>
    <col min="8449" max="8449" width="23" style="2" customWidth="1"/>
    <col min="8450" max="8450" width="10.33203125" style="2" customWidth="1"/>
    <col min="8451" max="8704" width="8.83203125" style="2"/>
    <col min="8705" max="8705" width="23" style="2" customWidth="1"/>
    <col min="8706" max="8706" width="10.33203125" style="2" customWidth="1"/>
    <col min="8707" max="8960" width="8.83203125" style="2"/>
    <col min="8961" max="8961" width="23" style="2" customWidth="1"/>
    <col min="8962" max="8962" width="10.33203125" style="2" customWidth="1"/>
    <col min="8963" max="9216" width="8.83203125" style="2"/>
    <col min="9217" max="9217" width="23" style="2" customWidth="1"/>
    <col min="9218" max="9218" width="10.33203125" style="2" customWidth="1"/>
    <col min="9219" max="9472" width="8.83203125" style="2"/>
    <col min="9473" max="9473" width="23" style="2" customWidth="1"/>
    <col min="9474" max="9474" width="10.33203125" style="2" customWidth="1"/>
    <col min="9475" max="9728" width="8.83203125" style="2"/>
    <col min="9729" max="9729" width="23" style="2" customWidth="1"/>
    <col min="9730" max="9730" width="10.33203125" style="2" customWidth="1"/>
    <col min="9731" max="9984" width="8.83203125" style="2"/>
    <col min="9985" max="9985" width="23" style="2" customWidth="1"/>
    <col min="9986" max="9986" width="10.33203125" style="2" customWidth="1"/>
    <col min="9987" max="10240" width="8.83203125" style="2"/>
    <col min="10241" max="10241" width="23" style="2" customWidth="1"/>
    <col min="10242" max="10242" width="10.33203125" style="2" customWidth="1"/>
    <col min="10243" max="10496" width="8.83203125" style="2"/>
    <col min="10497" max="10497" width="23" style="2" customWidth="1"/>
    <col min="10498" max="10498" width="10.33203125" style="2" customWidth="1"/>
    <col min="10499" max="10752" width="8.83203125" style="2"/>
    <col min="10753" max="10753" width="23" style="2" customWidth="1"/>
    <col min="10754" max="10754" width="10.33203125" style="2" customWidth="1"/>
    <col min="10755" max="11008" width="8.83203125" style="2"/>
    <col min="11009" max="11009" width="23" style="2" customWidth="1"/>
    <col min="11010" max="11010" width="10.33203125" style="2" customWidth="1"/>
    <col min="11011" max="11264" width="8.83203125" style="2"/>
    <col min="11265" max="11265" width="23" style="2" customWidth="1"/>
    <col min="11266" max="11266" width="10.33203125" style="2" customWidth="1"/>
    <col min="11267" max="11520" width="8.83203125" style="2"/>
    <col min="11521" max="11521" width="23" style="2" customWidth="1"/>
    <col min="11522" max="11522" width="10.33203125" style="2" customWidth="1"/>
    <col min="11523" max="11776" width="8.83203125" style="2"/>
    <col min="11777" max="11777" width="23" style="2" customWidth="1"/>
    <col min="11778" max="11778" width="10.33203125" style="2" customWidth="1"/>
    <col min="11779" max="12032" width="8.83203125" style="2"/>
    <col min="12033" max="12033" width="23" style="2" customWidth="1"/>
    <col min="12034" max="12034" width="10.33203125" style="2" customWidth="1"/>
    <col min="12035" max="12288" width="8.83203125" style="2"/>
    <col min="12289" max="12289" width="23" style="2" customWidth="1"/>
    <col min="12290" max="12290" width="10.33203125" style="2" customWidth="1"/>
    <col min="12291" max="12544" width="8.83203125" style="2"/>
    <col min="12545" max="12545" width="23" style="2" customWidth="1"/>
    <col min="12546" max="12546" width="10.33203125" style="2" customWidth="1"/>
    <col min="12547" max="12800" width="8.83203125" style="2"/>
    <col min="12801" max="12801" width="23" style="2" customWidth="1"/>
    <col min="12802" max="12802" width="10.33203125" style="2" customWidth="1"/>
    <col min="12803" max="13056" width="8.83203125" style="2"/>
    <col min="13057" max="13057" width="23" style="2" customWidth="1"/>
    <col min="13058" max="13058" width="10.33203125" style="2" customWidth="1"/>
    <col min="13059" max="13312" width="8.83203125" style="2"/>
    <col min="13313" max="13313" width="23" style="2" customWidth="1"/>
    <col min="13314" max="13314" width="10.33203125" style="2" customWidth="1"/>
    <col min="13315" max="13568" width="8.83203125" style="2"/>
    <col min="13569" max="13569" width="23" style="2" customWidth="1"/>
    <col min="13570" max="13570" width="10.33203125" style="2" customWidth="1"/>
    <col min="13571" max="13824" width="8.83203125" style="2"/>
    <col min="13825" max="13825" width="23" style="2" customWidth="1"/>
    <col min="13826" max="13826" width="10.33203125" style="2" customWidth="1"/>
    <col min="13827" max="14080" width="8.83203125" style="2"/>
    <col min="14081" max="14081" width="23" style="2" customWidth="1"/>
    <col min="14082" max="14082" width="10.33203125" style="2" customWidth="1"/>
    <col min="14083" max="14336" width="8.83203125" style="2"/>
    <col min="14337" max="14337" width="23" style="2" customWidth="1"/>
    <col min="14338" max="14338" width="10.33203125" style="2" customWidth="1"/>
    <col min="14339" max="14592" width="8.83203125" style="2"/>
    <col min="14593" max="14593" width="23" style="2" customWidth="1"/>
    <col min="14594" max="14594" width="10.33203125" style="2" customWidth="1"/>
    <col min="14595" max="14848" width="8.83203125" style="2"/>
    <col min="14849" max="14849" width="23" style="2" customWidth="1"/>
    <col min="14850" max="14850" width="10.33203125" style="2" customWidth="1"/>
    <col min="14851" max="15104" width="8.83203125" style="2"/>
    <col min="15105" max="15105" width="23" style="2" customWidth="1"/>
    <col min="15106" max="15106" width="10.33203125" style="2" customWidth="1"/>
    <col min="15107" max="15360" width="8.83203125" style="2"/>
    <col min="15361" max="15361" width="23" style="2" customWidth="1"/>
    <col min="15362" max="15362" width="10.33203125" style="2" customWidth="1"/>
    <col min="15363" max="15616" width="8.83203125" style="2"/>
    <col min="15617" max="15617" width="23" style="2" customWidth="1"/>
    <col min="15618" max="15618" width="10.33203125" style="2" customWidth="1"/>
    <col min="15619" max="15872" width="8.83203125" style="2"/>
    <col min="15873" max="15873" width="23" style="2" customWidth="1"/>
    <col min="15874" max="15874" width="10.33203125" style="2" customWidth="1"/>
    <col min="15875" max="16128" width="8.83203125" style="2"/>
    <col min="16129" max="16129" width="23" style="2" customWidth="1"/>
    <col min="16130" max="16130" width="10.33203125" style="2" customWidth="1"/>
    <col min="16131" max="16384" width="8.83203125" style="2"/>
  </cols>
  <sheetData>
    <row r="1" spans="1:13" x14ac:dyDescent="0.2">
      <c r="A1" s="68" t="s">
        <v>40</v>
      </c>
    </row>
    <row r="2" spans="1:13" x14ac:dyDescent="0.2">
      <c r="A2" s="68" t="s">
        <v>44</v>
      </c>
    </row>
    <row r="4" spans="1:13" x14ac:dyDescent="0.2">
      <c r="A4" s="3" t="s">
        <v>45</v>
      </c>
      <c r="F4" s="1" t="s">
        <v>11</v>
      </c>
    </row>
    <row r="5" spans="1:13" x14ac:dyDescent="0.2">
      <c r="G5" s="26">
        <v>18</v>
      </c>
    </row>
    <row r="6" spans="1:13" x14ac:dyDescent="0.2">
      <c r="C6" s="15" t="s">
        <v>12</v>
      </c>
      <c r="D6" s="15" t="s">
        <v>13</v>
      </c>
      <c r="E6" s="15" t="s">
        <v>14</v>
      </c>
    </row>
    <row r="7" spans="1:13" x14ac:dyDescent="0.2">
      <c r="A7" s="2" t="s">
        <v>15</v>
      </c>
      <c r="C7" s="24">
        <v>0.03</v>
      </c>
      <c r="E7" s="31">
        <v>0</v>
      </c>
    </row>
    <row r="8" spans="1:13" x14ac:dyDescent="0.2">
      <c r="A8" s="19" t="s">
        <v>16</v>
      </c>
      <c r="C8" s="24">
        <v>0.06</v>
      </c>
      <c r="D8" s="63">
        <f>C8-C7</f>
        <v>0.03</v>
      </c>
      <c r="E8" s="24">
        <v>0.08</v>
      </c>
      <c r="G8" s="9"/>
      <c r="I8" s="9"/>
    </row>
    <row r="9" spans="1:13" x14ac:dyDescent="0.2">
      <c r="A9" s="2" t="s">
        <v>31</v>
      </c>
      <c r="C9" s="24">
        <v>0.15</v>
      </c>
      <c r="D9" s="64">
        <f>C9-C7</f>
        <v>0.12</v>
      </c>
      <c r="E9" s="24">
        <v>0.25</v>
      </c>
      <c r="G9" s="9"/>
      <c r="I9" s="9"/>
    </row>
    <row r="10" spans="1:13" x14ac:dyDescent="0.2">
      <c r="B10" s="19" t="s">
        <v>27</v>
      </c>
      <c r="C10" s="26">
        <v>0.37</v>
      </c>
    </row>
    <row r="11" spans="1:13" x14ac:dyDescent="0.2">
      <c r="B11" s="19" t="s">
        <v>28</v>
      </c>
      <c r="C11" s="48">
        <f>C10*E8*E9</f>
        <v>7.4000000000000003E-3</v>
      </c>
    </row>
    <row r="13" spans="1:13" x14ac:dyDescent="0.2">
      <c r="A13" s="1" t="s">
        <v>46</v>
      </c>
    </row>
    <row r="14" spans="1:13" x14ac:dyDescent="0.2">
      <c r="K14" s="2" t="s">
        <v>47</v>
      </c>
    </row>
    <row r="15" spans="1:13" x14ac:dyDescent="0.2">
      <c r="A15" s="3" t="s">
        <v>29</v>
      </c>
      <c r="B15" s="15" t="s">
        <v>21</v>
      </c>
      <c r="C15" s="15" t="s">
        <v>12</v>
      </c>
      <c r="D15" s="15" t="s">
        <v>13</v>
      </c>
      <c r="E15" s="15" t="s">
        <v>14</v>
      </c>
      <c r="G15" s="15" t="s">
        <v>19</v>
      </c>
      <c r="K15" s="15" t="s">
        <v>14</v>
      </c>
      <c r="L15" s="15" t="s">
        <v>12</v>
      </c>
      <c r="M15" s="15" t="s">
        <v>19</v>
      </c>
    </row>
    <row r="16" spans="1:13" x14ac:dyDescent="0.2">
      <c r="C16" s="38">
        <f>C8*B18+C9*B19</f>
        <v>0.1338</v>
      </c>
      <c r="D16" s="20"/>
      <c r="E16" s="38">
        <f>SQRT(B18^2*E8^2+B19^2*E9^2+2*B18*B19*E8*E9*C10)</f>
        <v>0.21075303082043687</v>
      </c>
      <c r="G16" s="48">
        <f>C16-0.5*E16^2*G5</f>
        <v>-0.26595156000000009</v>
      </c>
      <c r="J16" s="19" t="s">
        <v>16</v>
      </c>
      <c r="K16" s="20">
        <f>E16</f>
        <v>0.21075303082043687</v>
      </c>
      <c r="L16" s="20">
        <f>C16</f>
        <v>0.1338</v>
      </c>
      <c r="M16" s="23">
        <f>G16</f>
        <v>-0.26595156000000009</v>
      </c>
    </row>
    <row r="17" spans="1:13" x14ac:dyDescent="0.2">
      <c r="A17" s="2" t="s">
        <v>15</v>
      </c>
      <c r="J17" s="16">
        <v>0</v>
      </c>
      <c r="K17" s="39">
        <f t="dataTable" ref="K17:M27" dt2D="0" dtr="0" r1="B18"/>
        <v>0.25</v>
      </c>
      <c r="L17" s="40">
        <v>0.15</v>
      </c>
      <c r="M17" s="54">
        <v>-0.41249999999999998</v>
      </c>
    </row>
    <row r="18" spans="1:13" x14ac:dyDescent="0.2">
      <c r="A18" s="19" t="s">
        <v>16</v>
      </c>
      <c r="B18" s="28">
        <v>0.18</v>
      </c>
      <c r="J18" s="16">
        <v>0.1</v>
      </c>
      <c r="K18" s="42">
        <v>0.22808112591795052</v>
      </c>
      <c r="L18" s="43">
        <v>0.14100000000000001</v>
      </c>
      <c r="M18" s="55">
        <v>-0.32718899999999995</v>
      </c>
    </row>
    <row r="19" spans="1:13" x14ac:dyDescent="0.2">
      <c r="A19" s="2" t="s">
        <v>31</v>
      </c>
      <c r="B19" s="57">
        <f>1-B18</f>
        <v>0.82000000000000006</v>
      </c>
      <c r="J19" s="16">
        <v>0.2</v>
      </c>
      <c r="K19" s="42">
        <v>0.20645580640902306</v>
      </c>
      <c r="L19" s="43">
        <v>0.13200000000000001</v>
      </c>
      <c r="M19" s="55">
        <v>-0.25161600000000006</v>
      </c>
    </row>
    <row r="20" spans="1:13" x14ac:dyDescent="0.2">
      <c r="J20" s="16">
        <v>0.3</v>
      </c>
      <c r="K20" s="42">
        <v>0.18522688789697891</v>
      </c>
      <c r="L20" s="43">
        <v>0.123</v>
      </c>
      <c r="M20" s="55">
        <v>-0.18578099999999992</v>
      </c>
    </row>
    <row r="21" spans="1:13" x14ac:dyDescent="0.2">
      <c r="A21" s="3" t="s">
        <v>33</v>
      </c>
      <c r="B21" s="15" t="s">
        <v>21</v>
      </c>
      <c r="C21" s="15" t="s">
        <v>12</v>
      </c>
      <c r="D21" s="15" t="s">
        <v>13</v>
      </c>
      <c r="E21" s="15" t="s">
        <v>14</v>
      </c>
      <c r="G21" s="15" t="s">
        <v>19</v>
      </c>
      <c r="J21" s="16">
        <v>0.4</v>
      </c>
      <c r="K21" s="42">
        <v>0.16454786537661314</v>
      </c>
      <c r="L21" s="43">
        <v>0.11399999999999999</v>
      </c>
      <c r="M21" s="55">
        <v>-0.12968400000000002</v>
      </c>
    </row>
    <row r="22" spans="1:13" x14ac:dyDescent="0.2">
      <c r="C22" s="38">
        <f>B24*C8+B25*C9</f>
        <v>9.2054794520547933E-2</v>
      </c>
      <c r="D22" s="38">
        <f>C22-C7</f>
        <v>6.2054794520547935E-2</v>
      </c>
      <c r="E22" s="38">
        <f>SQRT(B24^2*E8^2+B25^2*E9^2+2*B24*B25*E8*E9*C10)</f>
        <v>0.11821624149117048</v>
      </c>
      <c r="G22" s="48">
        <f>C22-0.5*E22^2*G5</f>
        <v>-3.37209232501407E-2</v>
      </c>
      <c r="J22" s="16">
        <v>0.5</v>
      </c>
      <c r="K22" s="42">
        <v>0.14465476141489433</v>
      </c>
      <c r="L22" s="43">
        <v>0.105</v>
      </c>
      <c r="M22" s="55">
        <v>-8.3325000000000024E-2</v>
      </c>
    </row>
    <row r="23" spans="1:13" x14ac:dyDescent="0.2">
      <c r="A23" s="2" t="s">
        <v>15</v>
      </c>
      <c r="J23" s="16">
        <v>0.6</v>
      </c>
      <c r="K23" s="42">
        <v>0.12592060990957757</v>
      </c>
      <c r="L23" s="43">
        <v>9.6000000000000002E-2</v>
      </c>
      <c r="M23" s="55">
        <v>-4.6704000000000051E-2</v>
      </c>
    </row>
    <row r="24" spans="1:13" x14ac:dyDescent="0.2">
      <c r="A24" s="19" t="s">
        <v>16</v>
      </c>
      <c r="B24" s="36">
        <f>(E9^2*D8-C11*D9)/(E9^2*D8+E8^2*D9-C11*(D8+D9))</f>
        <v>0.6438356164383563</v>
      </c>
      <c r="C24" s="70">
        <f>twoassets2(C8,C9,C7,E8,E9,C10,G5)</f>
        <v>0.6438356164383563</v>
      </c>
      <c r="J24" s="16">
        <v>0.7</v>
      </c>
      <c r="K24" s="42">
        <v>0.10894494022211404</v>
      </c>
      <c r="L24" s="43">
        <v>8.6999999999999994E-2</v>
      </c>
      <c r="M24" s="55">
        <v>-1.9821000000000019E-2</v>
      </c>
    </row>
    <row r="25" spans="1:13" x14ac:dyDescent="0.2">
      <c r="A25" s="2" t="s">
        <v>31</v>
      </c>
      <c r="B25" s="57">
        <f>1-B24</f>
        <v>0.3561643835616437</v>
      </c>
      <c r="C25" s="70">
        <f>B24/B25</f>
        <v>1.8076923076923088</v>
      </c>
      <c r="J25" s="16">
        <v>0.8</v>
      </c>
      <c r="K25" s="42">
        <v>9.4678403028357005E-2</v>
      </c>
      <c r="L25" s="43">
        <v>7.7999999999999986E-2</v>
      </c>
      <c r="M25" s="55">
        <v>-2.6760000000000256E-3</v>
      </c>
    </row>
    <row r="26" spans="1:13" x14ac:dyDescent="0.2">
      <c r="J26" s="16">
        <v>0.9</v>
      </c>
      <c r="K26" s="42">
        <v>8.4504437753291986E-2</v>
      </c>
      <c r="L26" s="43">
        <v>6.8999999999999992E-2</v>
      </c>
      <c r="M26" s="55">
        <v>4.7309999999999991E-3</v>
      </c>
    </row>
    <row r="27" spans="1:13" x14ac:dyDescent="0.2">
      <c r="A27" s="68" t="s">
        <v>49</v>
      </c>
      <c r="B27" s="19" t="s">
        <v>34</v>
      </c>
      <c r="C27" s="33">
        <v>0</v>
      </c>
      <c r="J27" s="16">
        <v>1</v>
      </c>
      <c r="K27" s="45">
        <v>0.08</v>
      </c>
      <c r="L27" s="46">
        <v>0.06</v>
      </c>
      <c r="M27" s="56">
        <v>2.3999999999999924E-3</v>
      </c>
    </row>
    <row r="29" spans="1:13" x14ac:dyDescent="0.2">
      <c r="A29" s="1" t="s">
        <v>48</v>
      </c>
    </row>
    <row r="30" spans="1:13" x14ac:dyDescent="0.2">
      <c r="A30" s="1" t="s">
        <v>20</v>
      </c>
      <c r="B30" s="15" t="s">
        <v>21</v>
      </c>
      <c r="C30" s="15" t="s">
        <v>12</v>
      </c>
      <c r="D30" s="15" t="s">
        <v>13</v>
      </c>
      <c r="E30" s="15" t="s">
        <v>14</v>
      </c>
      <c r="G30" s="15" t="s">
        <v>19</v>
      </c>
    </row>
    <row r="31" spans="1:13" x14ac:dyDescent="0.2">
      <c r="C31" s="38"/>
      <c r="D31" s="20"/>
      <c r="E31" s="38"/>
      <c r="G31" s="48"/>
      <c r="K31" s="15" t="s">
        <v>14</v>
      </c>
      <c r="L31" s="15" t="s">
        <v>12</v>
      </c>
      <c r="M31" s="15" t="s">
        <v>19</v>
      </c>
    </row>
    <row r="32" spans="1:13" x14ac:dyDescent="0.2">
      <c r="A32" s="2" t="s">
        <v>15</v>
      </c>
      <c r="B32" s="32">
        <v>0.7</v>
      </c>
      <c r="J32" s="2" t="s">
        <v>15</v>
      </c>
      <c r="K32" s="20">
        <f>E31</f>
        <v>0</v>
      </c>
      <c r="L32" s="20">
        <f>C31</f>
        <v>0</v>
      </c>
      <c r="M32" s="23">
        <f>G31</f>
        <v>0</v>
      </c>
    </row>
    <row r="33" spans="1:14" x14ac:dyDescent="0.2">
      <c r="A33" s="19" t="s">
        <v>16</v>
      </c>
      <c r="B33" s="58">
        <f>(1-B32)*B24</f>
        <v>0.19315068493150692</v>
      </c>
      <c r="C33" s="70">
        <f>B33/B34</f>
        <v>1.8076923076923086</v>
      </c>
      <c r="J33" s="16">
        <v>0</v>
      </c>
      <c r="K33" s="39"/>
      <c r="L33" s="40"/>
      <c r="M33" s="54"/>
    </row>
    <row r="34" spans="1:14" x14ac:dyDescent="0.2">
      <c r="A34" s="2" t="s">
        <v>31</v>
      </c>
      <c r="B34" s="50">
        <f>(1-B32)*B25</f>
        <v>0.10684931506849313</v>
      </c>
      <c r="J34" s="16">
        <v>0.1</v>
      </c>
      <c r="K34" s="42"/>
      <c r="L34" s="43"/>
      <c r="M34" s="55"/>
    </row>
    <row r="35" spans="1:14" x14ac:dyDescent="0.2">
      <c r="B35" s="16"/>
      <c r="J35" s="16">
        <v>0.2</v>
      </c>
      <c r="K35" s="42"/>
      <c r="L35" s="43"/>
      <c r="M35" s="55"/>
    </row>
    <row r="36" spans="1:14" x14ac:dyDescent="0.2">
      <c r="A36" s="1" t="s">
        <v>22</v>
      </c>
      <c r="B36" s="15" t="s">
        <v>21</v>
      </c>
      <c r="C36" s="15" t="s">
        <v>12</v>
      </c>
      <c r="D36" s="15" t="s">
        <v>13</v>
      </c>
      <c r="E36" s="15" t="s">
        <v>14</v>
      </c>
      <c r="G36" s="15" t="s">
        <v>19</v>
      </c>
      <c r="J36" s="16">
        <v>0.3</v>
      </c>
      <c r="K36" s="42"/>
      <c r="L36" s="43"/>
      <c r="M36" s="55"/>
    </row>
    <row r="37" spans="1:14" x14ac:dyDescent="0.2">
      <c r="C37" s="38"/>
      <c r="E37" s="38"/>
      <c r="G37" s="48"/>
      <c r="J37" s="16">
        <v>0.4</v>
      </c>
      <c r="K37" s="42"/>
      <c r="L37" s="43"/>
      <c r="M37" s="55"/>
    </row>
    <row r="38" spans="1:14" x14ac:dyDescent="0.2">
      <c r="A38" s="2" t="s">
        <v>15</v>
      </c>
      <c r="B38" s="59">
        <f>1-twoassets(C22,C7,E22,G5)</f>
        <v>0.75331170586645035</v>
      </c>
      <c r="C38" s="16">
        <f t="array" ref="C38:C40">one_shot(C8,C9,C7,E8,E9,C10,G5)</f>
        <v>0.75331170586645035</v>
      </c>
      <c r="J38" s="16">
        <v>0.5</v>
      </c>
      <c r="K38" s="42"/>
      <c r="L38" s="43"/>
      <c r="M38" s="55"/>
    </row>
    <row r="39" spans="1:14" x14ac:dyDescent="0.2">
      <c r="A39" s="19" t="s">
        <v>16</v>
      </c>
      <c r="B39" s="60">
        <f>(1-B38)*B24</f>
        <v>0.1588267099216005</v>
      </c>
      <c r="C39" s="16">
        <v>0.1588267099216005</v>
      </c>
      <c r="J39" s="16">
        <v>0.6</v>
      </c>
      <c r="K39" s="42"/>
      <c r="L39" s="43"/>
      <c r="M39" s="55"/>
    </row>
    <row r="40" spans="1:14" x14ac:dyDescent="0.2">
      <c r="A40" s="2" t="s">
        <v>31</v>
      </c>
      <c r="B40" s="50">
        <f>(1-B38)*B25</f>
        <v>8.7861584211949159E-2</v>
      </c>
      <c r="C40" s="16">
        <v>8.7861584211949159E-2</v>
      </c>
      <c r="J40" s="16">
        <v>0.7</v>
      </c>
      <c r="K40" s="42"/>
      <c r="L40" s="43"/>
      <c r="M40" s="55"/>
    </row>
    <row r="41" spans="1:14" x14ac:dyDescent="0.2">
      <c r="B41" s="16"/>
      <c r="J41" s="16">
        <v>0.8</v>
      </c>
      <c r="K41" s="42"/>
      <c r="L41" s="43"/>
      <c r="M41" s="55"/>
    </row>
    <row r="42" spans="1:14" x14ac:dyDescent="0.2">
      <c r="J42" s="16">
        <v>0.9</v>
      </c>
      <c r="K42" s="42"/>
      <c r="L42" s="43"/>
      <c r="M42" s="55"/>
    </row>
    <row r="43" spans="1:14" x14ac:dyDescent="0.2">
      <c r="J43" s="16">
        <v>1</v>
      </c>
      <c r="K43" s="45"/>
      <c r="L43" s="46"/>
      <c r="M43" s="56"/>
    </row>
    <row r="47" spans="1:14" x14ac:dyDescent="0.2">
      <c r="K47" s="20">
        <f t="shared" ref="K47:L57" si="0">K17</f>
        <v>0.25</v>
      </c>
      <c r="L47" s="20">
        <f t="shared" si="0"/>
        <v>0.15</v>
      </c>
      <c r="N47" s="23">
        <f t="shared" ref="N47:N57" si="1">M17</f>
        <v>-0.41249999999999998</v>
      </c>
    </row>
    <row r="48" spans="1:14" x14ac:dyDescent="0.2">
      <c r="K48" s="20">
        <f t="shared" si="0"/>
        <v>0.22808112591795052</v>
      </c>
      <c r="L48" s="20">
        <f t="shared" si="0"/>
        <v>0.14100000000000001</v>
      </c>
      <c r="N48" s="23">
        <f t="shared" si="1"/>
        <v>-0.32718899999999995</v>
      </c>
    </row>
    <row r="49" spans="11:15" x14ac:dyDescent="0.2">
      <c r="K49" s="20">
        <f t="shared" si="0"/>
        <v>0.20645580640902306</v>
      </c>
      <c r="L49" s="20">
        <f t="shared" si="0"/>
        <v>0.13200000000000001</v>
      </c>
      <c r="N49" s="23">
        <f t="shared" si="1"/>
        <v>-0.25161600000000006</v>
      </c>
    </row>
    <row r="50" spans="11:15" x14ac:dyDescent="0.2">
      <c r="K50" s="20">
        <f t="shared" si="0"/>
        <v>0.18522688789697891</v>
      </c>
      <c r="L50" s="20">
        <f t="shared" si="0"/>
        <v>0.123</v>
      </c>
      <c r="N50" s="23">
        <f t="shared" si="1"/>
        <v>-0.18578099999999992</v>
      </c>
    </row>
    <row r="51" spans="11:15" x14ac:dyDescent="0.2">
      <c r="K51" s="20">
        <f t="shared" si="0"/>
        <v>0.16454786537661314</v>
      </c>
      <c r="L51" s="20">
        <f t="shared" si="0"/>
        <v>0.11399999999999999</v>
      </c>
      <c r="N51" s="23">
        <f t="shared" si="1"/>
        <v>-0.12968400000000002</v>
      </c>
    </row>
    <row r="52" spans="11:15" x14ac:dyDescent="0.2">
      <c r="K52" s="20">
        <f t="shared" si="0"/>
        <v>0.14465476141489433</v>
      </c>
      <c r="L52" s="20">
        <f t="shared" si="0"/>
        <v>0.105</v>
      </c>
      <c r="N52" s="23">
        <f t="shared" si="1"/>
        <v>-8.3325000000000024E-2</v>
      </c>
    </row>
    <row r="53" spans="11:15" x14ac:dyDescent="0.2">
      <c r="K53" s="20">
        <f t="shared" si="0"/>
        <v>0.12592060990957757</v>
      </c>
      <c r="L53" s="20">
        <f t="shared" si="0"/>
        <v>9.6000000000000002E-2</v>
      </c>
      <c r="N53" s="23">
        <f t="shared" si="1"/>
        <v>-4.6704000000000051E-2</v>
      </c>
    </row>
    <row r="54" spans="11:15" x14ac:dyDescent="0.2">
      <c r="K54" s="20">
        <f t="shared" si="0"/>
        <v>0.10894494022211404</v>
      </c>
      <c r="L54" s="20">
        <f t="shared" si="0"/>
        <v>8.6999999999999994E-2</v>
      </c>
      <c r="N54" s="23">
        <f t="shared" si="1"/>
        <v>-1.9821000000000019E-2</v>
      </c>
    </row>
    <row r="55" spans="11:15" x14ac:dyDescent="0.2">
      <c r="K55" s="20">
        <f t="shared" si="0"/>
        <v>9.4678403028357005E-2</v>
      </c>
      <c r="L55" s="20">
        <f t="shared" si="0"/>
        <v>7.7999999999999986E-2</v>
      </c>
      <c r="N55" s="23">
        <f t="shared" si="1"/>
        <v>-2.6760000000000256E-3</v>
      </c>
    </row>
    <row r="56" spans="11:15" x14ac:dyDescent="0.2">
      <c r="K56" s="20">
        <f t="shared" si="0"/>
        <v>8.4504437753291986E-2</v>
      </c>
      <c r="L56" s="20">
        <f t="shared" si="0"/>
        <v>6.8999999999999992E-2</v>
      </c>
      <c r="N56" s="23">
        <f t="shared" si="1"/>
        <v>4.7309999999999991E-3</v>
      </c>
    </row>
    <row r="57" spans="11:15" x14ac:dyDescent="0.2">
      <c r="K57" s="20">
        <f t="shared" si="0"/>
        <v>0.08</v>
      </c>
      <c r="L57" s="20">
        <f t="shared" si="0"/>
        <v>0.06</v>
      </c>
      <c r="N57" s="23">
        <f t="shared" si="1"/>
        <v>2.3999999999999924E-3</v>
      </c>
    </row>
    <row r="58" spans="11:15" x14ac:dyDescent="0.2">
      <c r="K58" s="20">
        <f t="shared" ref="K58:K68" si="2">K33</f>
        <v>0</v>
      </c>
      <c r="M58" s="20">
        <f t="shared" ref="M58:M68" si="3">L33</f>
        <v>0</v>
      </c>
      <c r="O58" s="23">
        <f t="shared" ref="O58:O68" si="4">M33</f>
        <v>0</v>
      </c>
    </row>
    <row r="59" spans="11:15" x14ac:dyDescent="0.2">
      <c r="K59" s="20">
        <f t="shared" si="2"/>
        <v>0</v>
      </c>
      <c r="M59" s="20">
        <f t="shared" si="3"/>
        <v>0</v>
      </c>
      <c r="O59" s="23">
        <f t="shared" si="4"/>
        <v>0</v>
      </c>
    </row>
    <row r="60" spans="11:15" x14ac:dyDescent="0.2">
      <c r="K60" s="20">
        <f t="shared" si="2"/>
        <v>0</v>
      </c>
      <c r="M60" s="20">
        <f t="shared" si="3"/>
        <v>0</v>
      </c>
      <c r="O60" s="23">
        <f t="shared" si="4"/>
        <v>0</v>
      </c>
    </row>
    <row r="61" spans="11:15" x14ac:dyDescent="0.2">
      <c r="K61" s="20">
        <f t="shared" si="2"/>
        <v>0</v>
      </c>
      <c r="M61" s="20">
        <f t="shared" si="3"/>
        <v>0</v>
      </c>
      <c r="O61" s="23">
        <f t="shared" si="4"/>
        <v>0</v>
      </c>
    </row>
    <row r="62" spans="11:15" x14ac:dyDescent="0.2">
      <c r="K62" s="20">
        <f t="shared" si="2"/>
        <v>0</v>
      </c>
      <c r="M62" s="20">
        <f t="shared" si="3"/>
        <v>0</v>
      </c>
      <c r="O62" s="23">
        <f t="shared" si="4"/>
        <v>0</v>
      </c>
    </row>
    <row r="63" spans="11:15" x14ac:dyDescent="0.2">
      <c r="K63" s="20">
        <f t="shared" si="2"/>
        <v>0</v>
      </c>
      <c r="M63" s="20">
        <f t="shared" si="3"/>
        <v>0</v>
      </c>
      <c r="O63" s="23">
        <f t="shared" si="4"/>
        <v>0</v>
      </c>
    </row>
    <row r="64" spans="11:15" x14ac:dyDescent="0.2">
      <c r="K64" s="20">
        <f t="shared" si="2"/>
        <v>0</v>
      </c>
      <c r="M64" s="20">
        <f t="shared" si="3"/>
        <v>0</v>
      </c>
      <c r="O64" s="23">
        <f t="shared" si="4"/>
        <v>0</v>
      </c>
    </row>
    <row r="65" spans="11:15" x14ac:dyDescent="0.2">
      <c r="K65" s="20">
        <f t="shared" si="2"/>
        <v>0</v>
      </c>
      <c r="M65" s="20">
        <f t="shared" si="3"/>
        <v>0</v>
      </c>
      <c r="O65" s="23">
        <f t="shared" si="4"/>
        <v>0</v>
      </c>
    </row>
    <row r="66" spans="11:15" x14ac:dyDescent="0.2">
      <c r="K66" s="20">
        <f t="shared" si="2"/>
        <v>0</v>
      </c>
      <c r="M66" s="20">
        <f t="shared" si="3"/>
        <v>0</v>
      </c>
      <c r="O66" s="23">
        <f t="shared" si="4"/>
        <v>0</v>
      </c>
    </row>
    <row r="67" spans="11:15" x14ac:dyDescent="0.2">
      <c r="K67" s="20">
        <f t="shared" si="2"/>
        <v>0</v>
      </c>
      <c r="M67" s="20">
        <f t="shared" si="3"/>
        <v>0</v>
      </c>
      <c r="O67" s="23">
        <f t="shared" si="4"/>
        <v>0</v>
      </c>
    </row>
    <row r="68" spans="11:15" x14ac:dyDescent="0.2">
      <c r="K68" s="20">
        <f t="shared" si="2"/>
        <v>0</v>
      </c>
      <c r="M68" s="20">
        <f t="shared" si="3"/>
        <v>0</v>
      </c>
      <c r="O68" s="23">
        <f t="shared" si="4"/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3Assets</vt:lpstr>
      <vt:lpstr>2Asset</vt:lpstr>
      <vt:lpstr>2Asset2</vt:lpstr>
      <vt:lpstr>MoreAssets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Microsoft Office User</cp:lastModifiedBy>
  <dcterms:created xsi:type="dcterms:W3CDTF">2017-07-28T14:02:53Z</dcterms:created>
  <dcterms:modified xsi:type="dcterms:W3CDTF">2019-06-06T09:20:34Z</dcterms:modified>
</cp:coreProperties>
</file>