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ns\Desktop\金融建模\"/>
    </mc:Choice>
  </mc:AlternateContent>
  <xr:revisionPtr revIDLastSave="0" documentId="13_ncr:1_{5C82200B-1A5F-44F3-8B79-6324C5983D62}" xr6:coauthVersionLast="46" xr6:coauthVersionMax="46" xr10:uidLastSave="{00000000-0000-0000-0000-000000000000}"/>
  <bookViews>
    <workbookView xWindow="-120" yWindow="-120" windowWidth="29040" windowHeight="16440" activeTab="2" xr2:uid="{00000000-000D-0000-FFFF-FFFF00000000}"/>
  </bookViews>
  <sheets>
    <sheet name="BSM" sheetId="1" r:id="rId1"/>
    <sheet name="option" sheetId="2" r:id="rId2"/>
    <sheet name="Black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3" l="1"/>
  <c r="E8" i="3"/>
  <c r="E9" i="3" s="1"/>
  <c r="E10" i="3"/>
  <c r="E11" i="3" s="1"/>
  <c r="F14" i="3"/>
  <c r="F13" i="3"/>
  <c r="E13" i="3" l="1"/>
  <c r="F10" i="3"/>
  <c r="D11" i="2"/>
  <c r="E6" i="2"/>
  <c r="E5" i="2"/>
  <c r="B18" i="3"/>
  <c r="I8" i="2" l="1"/>
  <c r="H12" i="2"/>
  <c r="H11" i="2"/>
  <c r="H8" i="2"/>
  <c r="H5" i="2"/>
  <c r="I5" i="2" l="1"/>
  <c r="E9" i="2"/>
  <c r="E8" i="2"/>
  <c r="E4" i="2"/>
  <c r="E1" i="2"/>
  <c r="E3" i="2"/>
  <c r="E2" i="2"/>
  <c r="E12" i="2" l="1"/>
  <c r="I12" i="2" s="1"/>
  <c r="E11" i="2"/>
  <c r="I11" i="2" s="1"/>
</calcChain>
</file>

<file path=xl/sharedStrings.xml><?xml version="1.0" encoding="utf-8"?>
<sst xmlns="http://schemas.openxmlformats.org/spreadsheetml/2006/main" count="75" uniqueCount="50">
  <si>
    <t>乐学偶得 出品</t>
    <phoneticPr fontId="1" type="noConversion"/>
  </si>
  <si>
    <t>S stock price</t>
    <phoneticPr fontId="1" type="noConversion"/>
  </si>
  <si>
    <t>N(d) d normal dis</t>
    <phoneticPr fontId="1" type="noConversion"/>
  </si>
  <si>
    <t xml:space="preserve">X strike price </t>
    <phoneticPr fontId="1" type="noConversion"/>
  </si>
  <si>
    <t>r risk free rate</t>
    <phoneticPr fontId="1" type="noConversion"/>
  </si>
  <si>
    <t>C = S*N(d1) -X*exp(-rT)*N(d2)</t>
    <phoneticPr fontId="1" type="noConversion"/>
  </si>
  <si>
    <t>binary option</t>
    <phoneticPr fontId="1" type="noConversion"/>
  </si>
  <si>
    <t>+S*N(D1)</t>
    <phoneticPr fontId="1" type="noConversion"/>
  </si>
  <si>
    <t>long Asset or nothing</t>
    <phoneticPr fontId="1" type="noConversion"/>
  </si>
  <si>
    <t>-X*exp(-rT)*N(d2)</t>
    <phoneticPr fontId="1" type="noConversion"/>
  </si>
  <si>
    <t>short cash or nothing</t>
    <phoneticPr fontId="1" type="noConversion"/>
  </si>
  <si>
    <t>欧式看涨期权(no dividend)</t>
    <phoneticPr fontId="1" type="noConversion"/>
  </si>
  <si>
    <t>d1 = [ln(S/X)+(r+0.5σ^2)]/σ*sqrt(T)</t>
    <phoneticPr fontId="1" type="noConversion"/>
  </si>
  <si>
    <t>d2 = [ln(S/X)+(r-0.5σ^2)]/σ*sqrt(T)</t>
    <phoneticPr fontId="1" type="noConversion"/>
  </si>
  <si>
    <t>欧式看涨期权(with dividend q)</t>
    <phoneticPr fontId="1" type="noConversion"/>
  </si>
  <si>
    <t>C = S*exp(-qT)*N(d1) -X*exp(-rT)*N(d2)</t>
    <phoneticPr fontId="1" type="noConversion"/>
  </si>
  <si>
    <t>外汇期权（外汇利率R）</t>
    <phoneticPr fontId="1" type="noConversion"/>
  </si>
  <si>
    <t>C = S*exp(-RT)*N(d1) -X*exp(-rT)*N(d2)</t>
    <phoneticPr fontId="1" type="noConversion"/>
  </si>
  <si>
    <r>
      <t>C =</t>
    </r>
    <r>
      <rPr>
        <sz val="11"/>
        <color theme="1"/>
        <rFont val="Yu Gothic"/>
        <family val="2"/>
      </rPr>
      <t>exp(-rT)[FN(d1)-XN(d2)]</t>
    </r>
    <phoneticPr fontId="1" type="noConversion"/>
  </si>
  <si>
    <t>商品期货option</t>
    <phoneticPr fontId="1" type="noConversion"/>
  </si>
  <si>
    <t>S</t>
    <phoneticPr fontId="1" type="noConversion"/>
  </si>
  <si>
    <t>X</t>
    <phoneticPr fontId="1" type="noConversion"/>
  </si>
  <si>
    <t>r</t>
    <phoneticPr fontId="1" type="noConversion"/>
  </si>
  <si>
    <t>q</t>
    <phoneticPr fontId="1" type="noConversion"/>
  </si>
  <si>
    <t>time now</t>
    <phoneticPr fontId="1" type="noConversion"/>
  </si>
  <si>
    <t>time T</t>
    <phoneticPr fontId="1" type="noConversion"/>
  </si>
  <si>
    <t>option T</t>
    <phoneticPr fontId="1" type="noConversion"/>
  </si>
  <si>
    <t>σ</t>
    <phoneticPr fontId="1" type="noConversion"/>
  </si>
  <si>
    <t>r-q+0.5σ^2</t>
    <phoneticPr fontId="1" type="noConversion"/>
  </si>
  <si>
    <t>exp(-qT)</t>
    <phoneticPr fontId="1" type="noConversion"/>
  </si>
  <si>
    <t>exp(-rT)</t>
    <phoneticPr fontId="1" type="noConversion"/>
  </si>
  <si>
    <t>d1 = [ln(S/X)+(r-q+0.5σ^2)*T]/σ*sqrt(T)</t>
    <phoneticPr fontId="1" type="noConversion"/>
  </si>
  <si>
    <t>d2 = [ln(S/X)+(r-q-0.5σ^2)*T]/σ*sqrt(T)</t>
    <phoneticPr fontId="1" type="noConversion"/>
  </si>
  <si>
    <t>d1 = [ln(S/X)+(r-R+0.5σ^2)*T]/σ*sqrt(T)</t>
    <phoneticPr fontId="1" type="noConversion"/>
  </si>
  <si>
    <t>d2 = [ln(S/X)+(r-R-0.5σ^2)*T]/σ*sqrt(T)</t>
    <phoneticPr fontId="1" type="noConversion"/>
  </si>
  <si>
    <t>N(d1)</t>
    <phoneticPr fontId="1" type="noConversion"/>
  </si>
  <si>
    <t>r-q-0.5σ^2</t>
    <phoneticPr fontId="1" type="noConversion"/>
  </si>
  <si>
    <t>N(d2)</t>
    <phoneticPr fontId="1" type="noConversion"/>
  </si>
  <si>
    <t>P = S*exp(-qT)*(N(d1)-1) -X*exp(-rT)*(N(d2)-1)</t>
    <phoneticPr fontId="1" type="noConversion"/>
  </si>
  <si>
    <t>C+X*exp(-rT)</t>
    <phoneticPr fontId="1" type="noConversion"/>
  </si>
  <si>
    <t>P+S</t>
    <phoneticPr fontId="1" type="noConversion"/>
  </si>
  <si>
    <t>Via Func</t>
    <phoneticPr fontId="1" type="noConversion"/>
  </si>
  <si>
    <t>check</t>
    <phoneticPr fontId="1" type="noConversion"/>
  </si>
  <si>
    <t>F0(T) =S0*e^(r*T)</t>
    <phoneticPr fontId="1" type="noConversion"/>
  </si>
  <si>
    <t>C = F0(T)exp(-rT)*N(d1) -X*exp(-rT)*N(d2)</t>
    <phoneticPr fontId="1" type="noConversion"/>
  </si>
  <si>
    <t>C = exp(-rT)*(F0(T)*N(d1) -X*N(d2))</t>
    <phoneticPr fontId="1" type="noConversion"/>
  </si>
  <si>
    <t>P = exp(-rT)*(X*N(-d2)-F0(T)*N(-d1) )</t>
    <phoneticPr fontId="1" type="noConversion"/>
  </si>
  <si>
    <t>F</t>
    <phoneticPr fontId="1" type="noConversion"/>
  </si>
  <si>
    <t>d1 = [ln(F0(T)/X)+(r-q+0.5σ^2)*T]/σ*sqrt(T)</t>
    <phoneticPr fontId="1" type="noConversion"/>
  </si>
  <si>
    <t>d2 = d1 - σ*sqrt(T)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</si>
</sst>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Yu Gothic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9" fontId="0" fillId="0" borderId="0" xfId="0" applyNumberFormat="1"/>
    <xf numFmtId="176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5"/>
  <sheetViews>
    <sheetView topLeftCell="A13" zoomScale="235" zoomScaleNormal="235" workbookViewId="0">
      <selection activeCell="A25" sqref="A25"/>
    </sheetView>
  </sheetViews>
  <sheetFormatPr defaultRowHeight="14.25" x14ac:dyDescent="0.2"/>
  <cols>
    <col min="1" max="1" width="32.625" customWidth="1"/>
    <col min="3" max="3" width="36.125" customWidth="1"/>
    <col min="4" max="4" width="15.75" customWidth="1"/>
  </cols>
  <sheetData>
    <row r="1" spans="1:9" x14ac:dyDescent="0.2">
      <c r="A1" s="5" t="s">
        <v>0</v>
      </c>
      <c r="B1" s="5"/>
      <c r="C1" s="5"/>
      <c r="D1" s="5"/>
      <c r="E1" s="5"/>
      <c r="F1" s="5"/>
      <c r="G1" s="5"/>
      <c r="H1" s="5"/>
      <c r="I1" s="5"/>
    </row>
    <row r="2" spans="1:9" x14ac:dyDescent="0.2">
      <c r="A2" t="s">
        <v>11</v>
      </c>
    </row>
    <row r="3" spans="1:9" x14ac:dyDescent="0.2">
      <c r="A3" t="s">
        <v>5</v>
      </c>
      <c r="C3" t="s">
        <v>12</v>
      </c>
    </row>
    <row r="4" spans="1:9" x14ac:dyDescent="0.2">
      <c r="C4" t="s">
        <v>13</v>
      </c>
    </row>
    <row r="5" spans="1:9" x14ac:dyDescent="0.2">
      <c r="A5" t="s">
        <v>1</v>
      </c>
    </row>
    <row r="6" spans="1:9" x14ac:dyDescent="0.2">
      <c r="A6" t="s">
        <v>2</v>
      </c>
    </row>
    <row r="7" spans="1:9" x14ac:dyDescent="0.2">
      <c r="A7" t="s">
        <v>3</v>
      </c>
      <c r="C7" t="s">
        <v>6</v>
      </c>
    </row>
    <row r="8" spans="1:9" x14ac:dyDescent="0.2">
      <c r="A8" t="s">
        <v>4</v>
      </c>
      <c r="C8" s="1" t="s">
        <v>7</v>
      </c>
      <c r="D8" t="s">
        <v>8</v>
      </c>
    </row>
    <row r="9" spans="1:9" x14ac:dyDescent="0.2">
      <c r="C9" s="1" t="s">
        <v>9</v>
      </c>
      <c r="D9" t="s">
        <v>10</v>
      </c>
    </row>
    <row r="11" spans="1:9" x14ac:dyDescent="0.2">
      <c r="A11" t="s">
        <v>14</v>
      </c>
    </row>
    <row r="13" spans="1:9" x14ac:dyDescent="0.2">
      <c r="A13" t="s">
        <v>15</v>
      </c>
      <c r="C13" t="s">
        <v>31</v>
      </c>
    </row>
    <row r="14" spans="1:9" x14ac:dyDescent="0.2">
      <c r="C14" t="s">
        <v>32</v>
      </c>
    </row>
    <row r="15" spans="1:9" x14ac:dyDescent="0.2">
      <c r="A15" t="s">
        <v>1</v>
      </c>
    </row>
    <row r="16" spans="1:9" x14ac:dyDescent="0.2">
      <c r="A16" t="s">
        <v>2</v>
      </c>
    </row>
    <row r="17" spans="1:4" x14ac:dyDescent="0.2">
      <c r="A17" t="s">
        <v>3</v>
      </c>
      <c r="C17" t="s">
        <v>6</v>
      </c>
    </row>
    <row r="18" spans="1:4" x14ac:dyDescent="0.2">
      <c r="A18" t="s">
        <v>4</v>
      </c>
      <c r="C18" s="1" t="s">
        <v>7</v>
      </c>
      <c r="D18" t="s">
        <v>8</v>
      </c>
    </row>
    <row r="19" spans="1:4" x14ac:dyDescent="0.2">
      <c r="C19" s="1" t="s">
        <v>9</v>
      </c>
      <c r="D19" t="s">
        <v>10</v>
      </c>
    </row>
    <row r="21" spans="1:4" x14ac:dyDescent="0.2">
      <c r="A21" t="s">
        <v>16</v>
      </c>
      <c r="C21" t="s">
        <v>33</v>
      </c>
    </row>
    <row r="22" spans="1:4" x14ac:dyDescent="0.2">
      <c r="A22" t="s">
        <v>17</v>
      </c>
      <c r="C22" t="s">
        <v>34</v>
      </c>
    </row>
    <row r="24" spans="1:4" x14ac:dyDescent="0.2">
      <c r="A24" t="s">
        <v>19</v>
      </c>
    </row>
    <row r="25" spans="1:4" ht="18.75" x14ac:dyDescent="0.4">
      <c r="A25" t="s">
        <v>18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3B811-ADE9-418F-8B30-11A5E9B12235}">
  <sheetPr codeName="Sheet2"/>
  <dimension ref="A1:I15"/>
  <sheetViews>
    <sheetView zoomScale="190" zoomScaleNormal="190" workbookViewId="0">
      <selection activeCell="D11" sqref="D11"/>
    </sheetView>
  </sheetViews>
  <sheetFormatPr defaultRowHeight="14.25" x14ac:dyDescent="0.2"/>
  <cols>
    <col min="4" max="4" width="41.375" customWidth="1"/>
    <col min="7" max="7" width="17.5" customWidth="1"/>
  </cols>
  <sheetData>
    <row r="1" spans="1:9" x14ac:dyDescent="0.2">
      <c r="A1" t="s">
        <v>20</v>
      </c>
      <c r="B1">
        <v>100</v>
      </c>
      <c r="D1" t="s">
        <v>28</v>
      </c>
      <c r="E1" s="3">
        <f>B3-B5+0.5*B9^2</f>
        <v>7.0000000000000007E-2</v>
      </c>
    </row>
    <row r="2" spans="1:9" x14ac:dyDescent="0.2">
      <c r="A2" t="s">
        <v>21</v>
      </c>
      <c r="B2">
        <v>95</v>
      </c>
      <c r="D2" t="s">
        <v>29</v>
      </c>
      <c r="E2">
        <f>EXP(-B5*B7)</f>
        <v>0.98511193960306265</v>
      </c>
    </row>
    <row r="3" spans="1:9" x14ac:dyDescent="0.2">
      <c r="A3" t="s">
        <v>22</v>
      </c>
      <c r="B3" s="2">
        <v>0.08</v>
      </c>
      <c r="D3" t="s">
        <v>30</v>
      </c>
      <c r="E3">
        <f>EXP(-B3*B7)</f>
        <v>0.96078943915232318</v>
      </c>
    </row>
    <row r="4" spans="1:9" x14ac:dyDescent="0.2">
      <c r="D4" t="s">
        <v>36</v>
      </c>
      <c r="E4" s="3">
        <f>B3-B5-0.5*B9^2</f>
        <v>0.03</v>
      </c>
      <c r="I4" t="s">
        <v>42</v>
      </c>
    </row>
    <row r="5" spans="1:9" x14ac:dyDescent="0.2">
      <c r="A5" t="s">
        <v>23</v>
      </c>
      <c r="B5" s="2">
        <v>0.03</v>
      </c>
      <c r="D5" t="s">
        <v>31</v>
      </c>
      <c r="E5">
        <f>(LN(B1/B2)+E1*B7)/(B9*SQRT(B8))</f>
        <v>0.61018573632363982</v>
      </c>
      <c r="G5" t="s">
        <v>41</v>
      </c>
      <c r="H5">
        <f>BSD_1(B1, B2, B3, B5, B7, B9)</f>
        <v>0.61018573632363982</v>
      </c>
      <c r="I5">
        <f>E5-H5</f>
        <v>0</v>
      </c>
    </row>
    <row r="6" spans="1:9" x14ac:dyDescent="0.2">
      <c r="A6" t="s">
        <v>24</v>
      </c>
      <c r="B6">
        <v>0</v>
      </c>
      <c r="D6" t="s">
        <v>35</v>
      </c>
      <c r="E6">
        <f>_xlfn.NORM.DIST(E5,0,1,TRUE)</f>
        <v>0.72913061132880386</v>
      </c>
    </row>
    <row r="7" spans="1:9" x14ac:dyDescent="0.2">
      <c r="A7" t="s">
        <v>25</v>
      </c>
      <c r="B7" s="3">
        <v>0.5</v>
      </c>
    </row>
    <row r="8" spans="1:9" x14ac:dyDescent="0.2">
      <c r="A8" t="s">
        <v>26</v>
      </c>
      <c r="B8" s="4">
        <v>0.5</v>
      </c>
      <c r="D8" t="s">
        <v>32</v>
      </c>
      <c r="E8">
        <f>(LN(B1/B2)+E4*B7)/(B9*SQRT(B8))</f>
        <v>0.46876438008633026</v>
      </c>
      <c r="G8" t="s">
        <v>41</v>
      </c>
      <c r="H8">
        <f>BSD_2(B1, B2, B3, B5, B7, B9)</f>
        <v>0.46876438008633026</v>
      </c>
      <c r="I8">
        <f>H8-E8</f>
        <v>0</v>
      </c>
    </row>
    <row r="9" spans="1:9" x14ac:dyDescent="0.2">
      <c r="A9" t="s">
        <v>27</v>
      </c>
      <c r="B9" s="2">
        <v>0.2</v>
      </c>
      <c r="D9" t="s">
        <v>37</v>
      </c>
      <c r="E9">
        <f>_xlfn.NORM.DIST(E8,0,1,TRUE)</f>
        <v>0.68038096841139306</v>
      </c>
    </row>
    <row r="11" spans="1:9" x14ac:dyDescent="0.2">
      <c r="D11" t="str">
        <f>BSM!A13</f>
        <v>C = S*exp(-qT)*N(d1) -X*exp(-rT)*N(d2)</v>
      </c>
      <c r="E11">
        <f>B1*E2*E6-B2*E3*E9</f>
        <v>9.7257564152682718</v>
      </c>
      <c r="H11">
        <f>BSOptionValuation(1, B1, B2, B3, B5, B7, B9)</f>
        <v>9.7257564152682718</v>
      </c>
      <c r="I11">
        <f>H11-E11</f>
        <v>0</v>
      </c>
    </row>
    <row r="12" spans="1:9" x14ac:dyDescent="0.2">
      <c r="D12" t="s">
        <v>38</v>
      </c>
      <c r="E12">
        <f>B1*E2*(E6-1)-B2*E3*(E9-1)</f>
        <v>2.489559174432717</v>
      </c>
      <c r="H12">
        <f>BSOptionValuation(-1, B1, B2, B3, B5, B7, B9)</f>
        <v>2.489559174432717</v>
      </c>
      <c r="I12">
        <f>H12-E12</f>
        <v>0</v>
      </c>
    </row>
    <row r="14" spans="1:9" x14ac:dyDescent="0.2">
      <c r="A14" s="5" t="s">
        <v>39</v>
      </c>
      <c r="B14" s="5"/>
      <c r="C14" s="5"/>
    </row>
    <row r="15" spans="1:9" x14ac:dyDescent="0.2">
      <c r="A15" s="5" t="s">
        <v>40</v>
      </c>
      <c r="B15" s="5"/>
      <c r="C15" s="5"/>
    </row>
  </sheetData>
  <mergeCells count="2">
    <mergeCell ref="A14:C14"/>
    <mergeCell ref="A15:C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DC92F-DA3B-4538-9602-C1742102E61A}">
  <sheetPr codeName="Sheet3"/>
  <dimension ref="A1:F19"/>
  <sheetViews>
    <sheetView tabSelected="1" zoomScale="220" zoomScaleNormal="220" workbookViewId="0">
      <selection activeCell="A9" sqref="A9"/>
    </sheetView>
  </sheetViews>
  <sheetFormatPr defaultRowHeight="14.25" x14ac:dyDescent="0.2"/>
  <cols>
    <col min="1" max="1" width="35.25" customWidth="1"/>
    <col min="4" max="4" width="33.75" customWidth="1"/>
  </cols>
  <sheetData>
    <row r="1" spans="1:6" x14ac:dyDescent="0.2">
      <c r="A1" t="s">
        <v>43</v>
      </c>
    </row>
    <row r="3" spans="1:6" x14ac:dyDescent="0.2">
      <c r="A3" t="s">
        <v>5</v>
      </c>
    </row>
    <row r="4" spans="1:6" x14ac:dyDescent="0.2">
      <c r="A4" t="s">
        <v>44</v>
      </c>
    </row>
    <row r="5" spans="1:6" x14ac:dyDescent="0.2">
      <c r="A5" s="6" t="s">
        <v>45</v>
      </c>
      <c r="D5" t="s">
        <v>45</v>
      </c>
    </row>
    <row r="7" spans="1:6" x14ac:dyDescent="0.2">
      <c r="A7" s="6" t="s">
        <v>46</v>
      </c>
      <c r="D7" t="s">
        <v>30</v>
      </c>
    </row>
    <row r="8" spans="1:6" x14ac:dyDescent="0.2">
      <c r="A8" s="6"/>
      <c r="D8" t="s">
        <v>48</v>
      </c>
      <c r="E8">
        <f>(LN(B12/B13)+(B14+0.5*B19^2)*B18/(B19*SQRT(B18)))</f>
        <v>14.41655132197284</v>
      </c>
    </row>
    <row r="9" spans="1:6" x14ac:dyDescent="0.2">
      <c r="D9" t="s">
        <v>35</v>
      </c>
      <c r="E9">
        <f>_xlfn.NORM.DIST(E8,0,1,TRUE)</f>
        <v>1</v>
      </c>
    </row>
    <row r="10" spans="1:6" x14ac:dyDescent="0.2">
      <c r="D10" t="s">
        <v>49</v>
      </c>
      <c r="E10">
        <f>(LN(B12/B13)+(B14-0.5*B19^2)*B18/(B19*SQRT(B18)))</f>
        <v>14.345840643854185</v>
      </c>
      <c r="F10">
        <f>E8-B19*SQRT(B18)</f>
        <v>14.345840643854185</v>
      </c>
    </row>
    <row r="11" spans="1:6" x14ac:dyDescent="0.2">
      <c r="D11" t="s">
        <v>37</v>
      </c>
      <c r="E11">
        <f>_xlfn.NORM.DIST(E10,0,1,TRUE)</f>
        <v>1</v>
      </c>
    </row>
    <row r="12" spans="1:6" x14ac:dyDescent="0.2">
      <c r="A12" t="s">
        <v>47</v>
      </c>
      <c r="B12">
        <v>1000000</v>
      </c>
    </row>
    <row r="13" spans="1:6" x14ac:dyDescent="0.2">
      <c r="A13" t="s">
        <v>21</v>
      </c>
      <c r="B13">
        <v>1</v>
      </c>
      <c r="D13" t="s">
        <v>45</v>
      </c>
      <c r="E13">
        <f>EXP(-B14*B18)*(B12*E9-B13*E11)</f>
        <v>960788.47836288402</v>
      </c>
      <c r="F13">
        <f>BlackOptionValuation(1, B12, B13, B14, 0, B18, B19)</f>
        <v>960788.47836288402</v>
      </c>
    </row>
    <row r="14" spans="1:6" x14ac:dyDescent="0.2">
      <c r="A14" t="s">
        <v>22</v>
      </c>
      <c r="B14" s="2">
        <v>0.08</v>
      </c>
      <c r="D14" t="s">
        <v>46</v>
      </c>
      <c r="E14">
        <f>EXP(-B14*B18)*(B13*(1-E11)-B12*(1-E9))</f>
        <v>0</v>
      </c>
      <c r="F14">
        <f>BlackOptionValuation(-1, B12, B13, B14, 0, B18, B19)</f>
        <v>0</v>
      </c>
    </row>
    <row r="16" spans="1:6" x14ac:dyDescent="0.2">
      <c r="A16" t="s">
        <v>24</v>
      </c>
      <c r="B16">
        <v>0</v>
      </c>
    </row>
    <row r="17" spans="1:2" x14ac:dyDescent="0.2">
      <c r="A17" t="s">
        <v>25</v>
      </c>
      <c r="B17" s="3">
        <v>0.5</v>
      </c>
    </row>
    <row r="18" spans="1:2" x14ac:dyDescent="0.2">
      <c r="A18" t="s">
        <v>26</v>
      </c>
      <c r="B18" s="4">
        <f>B17-B16</f>
        <v>0.5</v>
      </c>
    </row>
    <row r="19" spans="1:2" x14ac:dyDescent="0.2">
      <c r="A19" t="s">
        <v>27</v>
      </c>
      <c r="B19" s="2">
        <v>0.1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BSM</vt:lpstr>
      <vt:lpstr>option</vt:lpstr>
      <vt:lpstr>Black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yons</dc:creator>
  <cp:lastModifiedBy>yons</cp:lastModifiedBy>
  <dcterms:created xsi:type="dcterms:W3CDTF">2015-06-05T18:17:20Z</dcterms:created>
  <dcterms:modified xsi:type="dcterms:W3CDTF">2021-02-28T07:09:19Z</dcterms:modified>
</cp:coreProperties>
</file>